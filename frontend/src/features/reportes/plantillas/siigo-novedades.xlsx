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6" rupBuild="14420"/>
  <workbookPr codeName="ThisWorkbook" defaultThemeVersion="164011"/>
  <bookViews>
    <workbookView xWindow="28680" yWindow="-120" windowWidth="29040" windowHeight="15840"/>
  </bookViews>
  <sheets>
    <sheet name="Novedades" sheetId="6" r:id="rId1"/>
    <sheet name="Conceptos creados por usuario" sheetId="7" r:id="rId2"/>
    <sheet name="datos" sheetId="1" state="hidden" r:id="rId3"/>
  </sheets>
  <calcPr calcId="162913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A41" i="1" l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42" i="1"/>
  <c r="J6" i="6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E8" i="6"/>
  <c r="J8" i="6" s="1"/>
  <c r="E9" i="6"/>
  <c r="J9" i="6" s="1"/>
  <c r="E10" i="6"/>
  <c r="J10" i="6" s="1"/>
  <c r="E11" i="6"/>
  <c r="J11" i="6" s="1"/>
  <c r="E12" i="6"/>
  <c r="J12" i="6" s="1"/>
  <c r="E13" i="6"/>
  <c r="J13" i="6" s="1"/>
  <c r="E14" i="6"/>
  <c r="J14" i="6" s="1"/>
  <c r="E15" i="6"/>
  <c r="J15" i="6" s="1"/>
  <c r="E16" i="6"/>
  <c r="J16" i="6" s="1"/>
  <c r="E17" i="6"/>
  <c r="J17" i="6" s="1"/>
  <c r="E18" i="6"/>
  <c r="J18" i="6" s="1"/>
  <c r="E19" i="6"/>
  <c r="J19" i="6" s="1"/>
  <c r="E20" i="6"/>
  <c r="J20" i="6" s="1"/>
  <c r="E21" i="6"/>
  <c r="J21" i="6" s="1"/>
  <c r="E22" i="6"/>
  <c r="J22" i="6" s="1"/>
  <c r="E23" i="6"/>
  <c r="J23" i="6" s="1"/>
  <c r="E24" i="6"/>
  <c r="J24" i="6" s="1"/>
  <c r="E25" i="6"/>
  <c r="J25" i="6" s="1"/>
  <c r="E26" i="6"/>
  <c r="J26" i="6" s="1"/>
  <c r="E27" i="6"/>
  <c r="J27" i="6" s="1"/>
  <c r="E28" i="6"/>
  <c r="J28" i="6" s="1"/>
  <c r="E29" i="6"/>
  <c r="J29" i="6" s="1"/>
  <c r="E30" i="6"/>
  <c r="J30" i="6" s="1"/>
  <c r="E31" i="6"/>
  <c r="J31" i="6" s="1"/>
  <c r="E32" i="6"/>
  <c r="J32" i="6" s="1"/>
  <c r="E33" i="6"/>
  <c r="J33" i="6" s="1"/>
  <c r="E34" i="6"/>
  <c r="J34" i="6" s="1"/>
  <c r="E35" i="6"/>
  <c r="J35" i="6" s="1"/>
  <c r="E36" i="6"/>
  <c r="J36" i="6" s="1"/>
  <c r="E37" i="6"/>
  <c r="J37" i="6" s="1"/>
  <c r="E38" i="6"/>
  <c r="J38" i="6" s="1"/>
  <c r="E39" i="6"/>
  <c r="J39" i="6" s="1"/>
  <c r="E40" i="6"/>
  <c r="J40" i="6" s="1"/>
  <c r="E41" i="6"/>
  <c r="J41" i="6" s="1"/>
  <c r="E42" i="6"/>
  <c r="J42" i="6" s="1"/>
  <c r="E43" i="6"/>
  <c r="J43" i="6" s="1"/>
  <c r="E44" i="6"/>
  <c r="J44" i="6" s="1"/>
  <c r="E45" i="6"/>
  <c r="J45" i="6" s="1"/>
  <c r="E46" i="6"/>
  <c r="J46" i="6" s="1"/>
  <c r="E47" i="6"/>
  <c r="J47" i="6" s="1"/>
  <c r="E48" i="6"/>
  <c r="J48" i="6" s="1"/>
  <c r="E49" i="6"/>
  <c r="J49" i="6" s="1"/>
  <c r="E50" i="6"/>
  <c r="J50" i="6" s="1"/>
  <c r="E51" i="6"/>
  <c r="J51" i="6" s="1"/>
  <c r="E52" i="6"/>
  <c r="J52" i="6" s="1"/>
  <c r="E53" i="6"/>
  <c r="J53" i="6" s="1"/>
  <c r="E54" i="6"/>
  <c r="J54" i="6" s="1"/>
  <c r="E55" i="6"/>
  <c r="J55" i="6" s="1"/>
  <c r="E56" i="6"/>
  <c r="J56" i="6" s="1"/>
  <c r="E57" i="6"/>
  <c r="J57" i="6" s="1"/>
  <c r="E58" i="6"/>
  <c r="J58" i="6" s="1"/>
  <c r="E59" i="6"/>
  <c r="J59" i="6" s="1"/>
  <c r="E60" i="6"/>
  <c r="J60" i="6" s="1"/>
  <c r="E61" i="6"/>
  <c r="J61" i="6" s="1"/>
  <c r="E62" i="6"/>
  <c r="J62" i="6" s="1"/>
  <c r="E63" i="6"/>
  <c r="J63" i="6" s="1"/>
  <c r="E64" i="6"/>
  <c r="J64" i="6" s="1"/>
  <c r="E65" i="6"/>
  <c r="J65" i="6" s="1"/>
  <c r="E66" i="6"/>
  <c r="J66" i="6" s="1"/>
  <c r="E67" i="6"/>
  <c r="J67" i="6" s="1"/>
  <c r="E68" i="6"/>
  <c r="J68" i="6" s="1"/>
  <c r="E69" i="6"/>
  <c r="J69" i="6" s="1"/>
  <c r="E70" i="6"/>
  <c r="J70" i="6" s="1"/>
  <c r="E71" i="6"/>
  <c r="J71" i="6" s="1"/>
  <c r="E72" i="6"/>
  <c r="J72" i="6" s="1"/>
  <c r="E73" i="6"/>
  <c r="J73" i="6" s="1"/>
  <c r="E74" i="6"/>
  <c r="J74" i="6" s="1"/>
  <c r="E75" i="6"/>
  <c r="J75" i="6" s="1"/>
  <c r="E76" i="6"/>
  <c r="J76" i="6" s="1"/>
  <c r="E77" i="6"/>
  <c r="J77" i="6" s="1"/>
  <c r="E78" i="6"/>
  <c r="J78" i="6" s="1"/>
  <c r="E79" i="6"/>
  <c r="J79" i="6" s="1"/>
  <c r="E80" i="6"/>
  <c r="J80" i="6" s="1"/>
  <c r="E81" i="6"/>
  <c r="J81" i="6" s="1"/>
  <c r="E82" i="6"/>
  <c r="J82" i="6" s="1"/>
  <c r="E83" i="6"/>
  <c r="J83" i="6" s="1"/>
  <c r="E84" i="6"/>
  <c r="J84" i="6" s="1"/>
  <c r="E85" i="6"/>
  <c r="J85" i="6" s="1"/>
  <c r="E86" i="6"/>
  <c r="J86" i="6" s="1"/>
  <c r="E87" i="6"/>
  <c r="J87" i="6" s="1"/>
  <c r="E88" i="6"/>
  <c r="J88" i="6" s="1"/>
  <c r="E89" i="6"/>
  <c r="J89" i="6" s="1"/>
  <c r="E90" i="6"/>
  <c r="J90" i="6" s="1"/>
  <c r="E91" i="6"/>
  <c r="J91" i="6" s="1"/>
  <c r="E92" i="6"/>
  <c r="J92" i="6" s="1"/>
  <c r="E93" i="6"/>
  <c r="J93" i="6" s="1"/>
  <c r="E94" i="6"/>
  <c r="J94" i="6" s="1"/>
  <c r="E95" i="6"/>
  <c r="J95" i="6" s="1"/>
  <c r="E96" i="6"/>
  <c r="J96" i="6" s="1"/>
  <c r="E97" i="6"/>
  <c r="J97" i="6" s="1"/>
  <c r="E98" i="6"/>
  <c r="J98" i="6" s="1"/>
  <c r="E99" i="6"/>
  <c r="J99" i="6" s="1"/>
  <c r="E100" i="6"/>
  <c r="J100" i="6" s="1"/>
  <c r="E101" i="6"/>
  <c r="J101" i="6" s="1"/>
  <c r="E102" i="6"/>
  <c r="J102" i="6" s="1"/>
  <c r="E103" i="6"/>
  <c r="J103" i="6" s="1"/>
  <c r="E104" i="6"/>
  <c r="J104" i="6" s="1"/>
  <c r="E105" i="6"/>
  <c r="J105" i="6" s="1"/>
  <c r="E106" i="6"/>
  <c r="J106" i="6" s="1"/>
  <c r="E107" i="6"/>
  <c r="J107" i="6" s="1"/>
  <c r="E108" i="6"/>
  <c r="J108" i="6" s="1"/>
  <c r="E109" i="6"/>
  <c r="J109" i="6" s="1"/>
  <c r="E110" i="6"/>
  <c r="J110" i="6" s="1"/>
  <c r="E111" i="6"/>
  <c r="J111" i="6" s="1"/>
  <c r="E112" i="6"/>
  <c r="J112" i="6" s="1"/>
  <c r="E113" i="6"/>
  <c r="J113" i="6" s="1"/>
  <c r="E114" i="6"/>
  <c r="J114" i="6" s="1"/>
  <c r="E115" i="6"/>
  <c r="J115" i="6" s="1"/>
  <c r="E116" i="6"/>
  <c r="J116" i="6" s="1"/>
  <c r="E117" i="6"/>
  <c r="J117" i="6" s="1"/>
  <c r="E118" i="6"/>
  <c r="J118" i="6" s="1"/>
  <c r="E119" i="6"/>
  <c r="J119" i="6" s="1"/>
  <c r="E120" i="6"/>
  <c r="J120" i="6" s="1"/>
  <c r="E121" i="6"/>
  <c r="J121" i="6" s="1"/>
  <c r="E122" i="6"/>
  <c r="J122" i="6" s="1"/>
  <c r="E123" i="6"/>
  <c r="J123" i="6" s="1"/>
  <c r="E124" i="6"/>
  <c r="J124" i="6" s="1"/>
  <c r="E125" i="6"/>
  <c r="J125" i="6" s="1"/>
  <c r="E126" i="6"/>
  <c r="J126" i="6" s="1"/>
  <c r="E127" i="6"/>
  <c r="J127" i="6" s="1"/>
  <c r="E128" i="6"/>
  <c r="J128" i="6" s="1"/>
  <c r="E129" i="6"/>
  <c r="J129" i="6" s="1"/>
  <c r="E130" i="6"/>
  <c r="J130" i="6" s="1"/>
  <c r="E131" i="6"/>
  <c r="J131" i="6" s="1"/>
  <c r="E132" i="6"/>
  <c r="J132" i="6" s="1"/>
  <c r="E133" i="6"/>
  <c r="J133" i="6" s="1"/>
  <c r="E134" i="6"/>
  <c r="J134" i="6" s="1"/>
  <c r="E135" i="6"/>
  <c r="J135" i="6" s="1"/>
  <c r="E136" i="6"/>
  <c r="J136" i="6" s="1"/>
  <c r="E137" i="6"/>
  <c r="J137" i="6" s="1"/>
  <c r="E138" i="6"/>
  <c r="J138" i="6" s="1"/>
  <c r="E139" i="6"/>
  <c r="J139" i="6" s="1"/>
  <c r="E140" i="6"/>
  <c r="J140" i="6" s="1"/>
  <c r="E141" i="6"/>
  <c r="J141" i="6" s="1"/>
  <c r="E142" i="6"/>
  <c r="J142" i="6" s="1"/>
  <c r="E143" i="6"/>
  <c r="J143" i="6" s="1"/>
  <c r="E144" i="6"/>
  <c r="J144" i="6" s="1"/>
  <c r="E145" i="6"/>
  <c r="J145" i="6" s="1"/>
  <c r="E146" i="6"/>
  <c r="J146" i="6" s="1"/>
  <c r="E147" i="6"/>
  <c r="J147" i="6" s="1"/>
  <c r="E148" i="6"/>
  <c r="J148" i="6" s="1"/>
  <c r="E149" i="6"/>
  <c r="J149" i="6" s="1"/>
  <c r="E150" i="6"/>
  <c r="J150" i="6" s="1"/>
  <c r="E151" i="6"/>
  <c r="J151" i="6" s="1"/>
  <c r="E152" i="6"/>
  <c r="J152" i="6" s="1"/>
  <c r="E153" i="6"/>
  <c r="J153" i="6" s="1"/>
  <c r="E154" i="6"/>
  <c r="J154" i="6" s="1"/>
  <c r="E155" i="6"/>
  <c r="J155" i="6" s="1"/>
  <c r="E156" i="6"/>
  <c r="J156" i="6" s="1"/>
  <c r="E157" i="6"/>
  <c r="J157" i="6" s="1"/>
  <c r="E158" i="6"/>
  <c r="J158" i="6" s="1"/>
  <c r="E159" i="6"/>
  <c r="J159" i="6" s="1"/>
  <c r="E160" i="6"/>
  <c r="J160" i="6" s="1"/>
  <c r="E161" i="6"/>
  <c r="J161" i="6" s="1"/>
  <c r="E162" i="6"/>
  <c r="J162" i="6" s="1"/>
  <c r="E163" i="6"/>
  <c r="J163" i="6" s="1"/>
  <c r="E164" i="6"/>
  <c r="J164" i="6" s="1"/>
  <c r="E165" i="6"/>
  <c r="J165" i="6" s="1"/>
  <c r="E166" i="6"/>
  <c r="J166" i="6" s="1"/>
  <c r="E167" i="6"/>
  <c r="J167" i="6" s="1"/>
  <c r="E168" i="6"/>
  <c r="J168" i="6" s="1"/>
  <c r="E169" i="6"/>
  <c r="J169" i="6" s="1"/>
  <c r="E170" i="6"/>
  <c r="J170" i="6" s="1"/>
  <c r="E171" i="6"/>
  <c r="J171" i="6" s="1"/>
  <c r="E172" i="6"/>
  <c r="J172" i="6" s="1"/>
  <c r="E173" i="6"/>
  <c r="J173" i="6" s="1"/>
  <c r="E174" i="6"/>
  <c r="J174" i="6" s="1"/>
  <c r="E175" i="6"/>
  <c r="J175" i="6" s="1"/>
  <c r="E176" i="6"/>
  <c r="J176" i="6" s="1"/>
  <c r="E177" i="6"/>
  <c r="J177" i="6" s="1"/>
  <c r="E178" i="6"/>
  <c r="J178" i="6" s="1"/>
  <c r="E179" i="6"/>
  <c r="J179" i="6" s="1"/>
  <c r="E180" i="6"/>
  <c r="J180" i="6" s="1"/>
  <c r="E181" i="6"/>
  <c r="J181" i="6" s="1"/>
  <c r="E182" i="6"/>
  <c r="J182" i="6" s="1"/>
  <c r="E183" i="6"/>
  <c r="J183" i="6" s="1"/>
  <c r="E184" i="6"/>
  <c r="J184" i="6" s="1"/>
  <c r="E185" i="6"/>
  <c r="J185" i="6" s="1"/>
  <c r="E186" i="6"/>
  <c r="J186" i="6" s="1"/>
  <c r="E187" i="6"/>
  <c r="J187" i="6" s="1"/>
  <c r="E188" i="6"/>
  <c r="J188" i="6" s="1"/>
  <c r="E189" i="6"/>
  <c r="J189" i="6" s="1"/>
  <c r="E190" i="6"/>
  <c r="J190" i="6" s="1"/>
  <c r="E191" i="6"/>
  <c r="J191" i="6" s="1"/>
  <c r="E192" i="6"/>
  <c r="J192" i="6" s="1"/>
  <c r="E193" i="6"/>
  <c r="J193" i="6" s="1"/>
  <c r="E194" i="6"/>
  <c r="J194" i="6" s="1"/>
  <c r="E195" i="6"/>
  <c r="J195" i="6" s="1"/>
  <c r="E196" i="6"/>
  <c r="J196" i="6" s="1"/>
  <c r="E197" i="6"/>
  <c r="J197" i="6" s="1"/>
  <c r="E198" i="6"/>
  <c r="J198" i="6" s="1"/>
  <c r="E199" i="6"/>
  <c r="J199" i="6" s="1"/>
  <c r="E200" i="6"/>
  <c r="J200" i="6" s="1"/>
  <c r="E201" i="6"/>
  <c r="J201" i="6" s="1"/>
  <c r="E202" i="6"/>
  <c r="J202" i="6" s="1"/>
  <c r="E203" i="6"/>
  <c r="J203" i="6" s="1"/>
  <c r="E204" i="6"/>
  <c r="J204" i="6" s="1"/>
  <c r="E205" i="6"/>
  <c r="J205" i="6" s="1"/>
  <c r="E206" i="6"/>
  <c r="J206" i="6" s="1"/>
  <c r="E207" i="6"/>
  <c r="J207" i="6" s="1"/>
  <c r="E208" i="6"/>
  <c r="J208" i="6" s="1"/>
  <c r="E209" i="6"/>
  <c r="J209" i="6" s="1"/>
  <c r="E210" i="6"/>
  <c r="J210" i="6" s="1"/>
  <c r="E211" i="6"/>
  <c r="J211" i="6" s="1"/>
  <c r="E212" i="6"/>
  <c r="J212" i="6" s="1"/>
  <c r="E213" i="6"/>
  <c r="J213" i="6" s="1"/>
  <c r="E214" i="6"/>
  <c r="J214" i="6" s="1"/>
  <c r="E215" i="6"/>
  <c r="J215" i="6" s="1"/>
  <c r="E216" i="6"/>
  <c r="J216" i="6" s="1"/>
  <c r="E217" i="6"/>
  <c r="J217" i="6" s="1"/>
  <c r="E218" i="6"/>
  <c r="J218" i="6" s="1"/>
  <c r="E219" i="6"/>
  <c r="J219" i="6" s="1"/>
  <c r="E220" i="6"/>
  <c r="J220" i="6" s="1"/>
  <c r="E221" i="6"/>
  <c r="J221" i="6" s="1"/>
  <c r="E222" i="6"/>
  <c r="J222" i="6" s="1"/>
  <c r="E223" i="6"/>
  <c r="J223" i="6" s="1"/>
  <c r="E224" i="6"/>
  <c r="J224" i="6" s="1"/>
  <c r="E225" i="6"/>
  <c r="J225" i="6" s="1"/>
  <c r="E226" i="6"/>
  <c r="J226" i="6" s="1"/>
  <c r="E227" i="6"/>
  <c r="J227" i="6" s="1"/>
  <c r="E228" i="6"/>
  <c r="J228" i="6" s="1"/>
  <c r="E229" i="6"/>
  <c r="J229" i="6" s="1"/>
  <c r="E230" i="6"/>
  <c r="J230" i="6" s="1"/>
  <c r="E231" i="6"/>
  <c r="J231" i="6" s="1"/>
  <c r="E232" i="6"/>
  <c r="J232" i="6" s="1"/>
  <c r="E233" i="6"/>
  <c r="J233" i="6" s="1"/>
  <c r="E234" i="6"/>
  <c r="J234" i="6" s="1"/>
  <c r="E235" i="6"/>
  <c r="J235" i="6" s="1"/>
  <c r="E236" i="6"/>
  <c r="J236" i="6" s="1"/>
  <c r="E237" i="6"/>
  <c r="J237" i="6" s="1"/>
  <c r="E238" i="6"/>
  <c r="J238" i="6" s="1"/>
  <c r="E239" i="6"/>
  <c r="J239" i="6" s="1"/>
  <c r="E240" i="6"/>
  <c r="J240" i="6" s="1"/>
  <c r="E241" i="6"/>
  <c r="J241" i="6" s="1"/>
  <c r="E242" i="6"/>
  <c r="J242" i="6" s="1"/>
  <c r="E243" i="6"/>
  <c r="J243" i="6" s="1"/>
  <c r="E244" i="6"/>
  <c r="J244" i="6" s="1"/>
  <c r="E245" i="6"/>
  <c r="J245" i="6" s="1"/>
  <c r="E246" i="6"/>
  <c r="J246" i="6" s="1"/>
  <c r="E247" i="6"/>
  <c r="J247" i="6" s="1"/>
  <c r="E248" i="6"/>
  <c r="J248" i="6" s="1"/>
  <c r="E249" i="6"/>
  <c r="J249" i="6" s="1"/>
  <c r="E250" i="6"/>
  <c r="J250" i="6" s="1"/>
  <c r="E251" i="6"/>
  <c r="J251" i="6" s="1"/>
  <c r="E252" i="6"/>
  <c r="J252" i="6" s="1"/>
  <c r="E253" i="6"/>
  <c r="J253" i="6" s="1"/>
  <c r="E254" i="6"/>
  <c r="J254" i="6" s="1"/>
  <c r="E255" i="6"/>
  <c r="J255" i="6" s="1"/>
  <c r="E256" i="6"/>
  <c r="J256" i="6" s="1"/>
  <c r="E257" i="6"/>
  <c r="J257" i="6" s="1"/>
  <c r="E258" i="6"/>
  <c r="J258" i="6" s="1"/>
  <c r="E259" i="6"/>
  <c r="J259" i="6" s="1"/>
  <c r="E260" i="6"/>
  <c r="J260" i="6" s="1"/>
  <c r="E261" i="6"/>
  <c r="J261" i="6" s="1"/>
  <c r="E262" i="6"/>
  <c r="J262" i="6" s="1"/>
  <c r="E263" i="6"/>
  <c r="J263" i="6" s="1"/>
  <c r="E264" i="6"/>
  <c r="J264" i="6" s="1"/>
  <c r="E265" i="6"/>
  <c r="J265" i="6" s="1"/>
  <c r="E266" i="6"/>
  <c r="J266" i="6" s="1"/>
  <c r="E267" i="6"/>
  <c r="J267" i="6" s="1"/>
  <c r="E268" i="6"/>
  <c r="J268" i="6" s="1"/>
  <c r="E269" i="6"/>
  <c r="J269" i="6" s="1"/>
  <c r="E270" i="6"/>
  <c r="J270" i="6" s="1"/>
  <c r="E271" i="6"/>
  <c r="J271" i="6" s="1"/>
  <c r="E272" i="6"/>
  <c r="J272" i="6" s="1"/>
  <c r="E273" i="6"/>
  <c r="J273" i="6" s="1"/>
  <c r="E274" i="6"/>
  <c r="J274" i="6" s="1"/>
  <c r="E275" i="6"/>
  <c r="J275" i="6" s="1"/>
  <c r="E276" i="6"/>
  <c r="J276" i="6" s="1"/>
  <c r="E277" i="6"/>
  <c r="J277" i="6" s="1"/>
  <c r="E278" i="6"/>
  <c r="J278" i="6" s="1"/>
  <c r="E279" i="6"/>
  <c r="J279" i="6" s="1"/>
  <c r="E280" i="6"/>
  <c r="J280" i="6" s="1"/>
  <c r="E281" i="6"/>
  <c r="J281" i="6" s="1"/>
  <c r="E282" i="6"/>
  <c r="J282" i="6" s="1"/>
  <c r="E283" i="6"/>
  <c r="J283" i="6" s="1"/>
  <c r="E284" i="6"/>
  <c r="J284" i="6" s="1"/>
  <c r="E285" i="6"/>
  <c r="J285" i="6" s="1"/>
  <c r="E286" i="6"/>
  <c r="J286" i="6" s="1"/>
  <c r="E287" i="6"/>
  <c r="J287" i="6" s="1"/>
  <c r="E288" i="6"/>
  <c r="J288" i="6" s="1"/>
  <c r="E289" i="6"/>
  <c r="J289" i="6" s="1"/>
  <c r="E290" i="6"/>
  <c r="J290" i="6" s="1"/>
  <c r="E291" i="6"/>
  <c r="J291" i="6" s="1"/>
  <c r="E292" i="6"/>
  <c r="J292" i="6" s="1"/>
  <c r="E293" i="6"/>
  <c r="J293" i="6" s="1"/>
  <c r="E294" i="6"/>
  <c r="J294" i="6" s="1"/>
  <c r="E295" i="6"/>
  <c r="J295" i="6" s="1"/>
  <c r="E296" i="6"/>
  <c r="J296" i="6" s="1"/>
  <c r="E297" i="6"/>
  <c r="J297" i="6" s="1"/>
  <c r="E298" i="6"/>
  <c r="J298" i="6" s="1"/>
  <c r="E299" i="6"/>
  <c r="J299" i="6" s="1"/>
  <c r="E300" i="6"/>
  <c r="J300" i="6" s="1"/>
  <c r="E301" i="6"/>
  <c r="J301" i="6" s="1"/>
  <c r="E302" i="6"/>
  <c r="J302" i="6" s="1"/>
  <c r="E303" i="6"/>
  <c r="J303" i="6" s="1"/>
  <c r="E304" i="6"/>
  <c r="J304" i="6" s="1"/>
  <c r="E305" i="6"/>
  <c r="J305" i="6" s="1"/>
  <c r="E306" i="6"/>
  <c r="J306" i="6" s="1"/>
  <c r="E307" i="6"/>
  <c r="J307" i="6" s="1"/>
  <c r="E308" i="6"/>
  <c r="J308" i="6" s="1"/>
  <c r="E309" i="6"/>
  <c r="J309" i="6" s="1"/>
  <c r="E310" i="6"/>
  <c r="J310" i="6" s="1"/>
  <c r="E311" i="6"/>
  <c r="J311" i="6" s="1"/>
  <c r="E312" i="6"/>
  <c r="J312" i="6" s="1"/>
  <c r="E313" i="6"/>
  <c r="J313" i="6" s="1"/>
  <c r="E314" i="6"/>
  <c r="J314" i="6" s="1"/>
  <c r="E315" i="6"/>
  <c r="J315" i="6" s="1"/>
  <c r="E316" i="6"/>
  <c r="J316" i="6" s="1"/>
  <c r="E317" i="6"/>
  <c r="J317" i="6" s="1"/>
  <c r="E318" i="6"/>
  <c r="J318" i="6" s="1"/>
  <c r="E319" i="6"/>
  <c r="J319" i="6" s="1"/>
  <c r="E320" i="6"/>
  <c r="J320" i="6" s="1"/>
  <c r="E321" i="6"/>
  <c r="J321" i="6" s="1"/>
  <c r="E322" i="6"/>
  <c r="J322" i="6" s="1"/>
  <c r="E323" i="6"/>
  <c r="J323" i="6" s="1"/>
  <c r="E324" i="6"/>
  <c r="J324" i="6" s="1"/>
  <c r="E325" i="6"/>
  <c r="J325" i="6" s="1"/>
  <c r="E326" i="6"/>
  <c r="J326" i="6" s="1"/>
  <c r="E327" i="6"/>
  <c r="J327" i="6" s="1"/>
  <c r="E328" i="6"/>
  <c r="J328" i="6" s="1"/>
  <c r="E329" i="6"/>
  <c r="J329" i="6" s="1"/>
  <c r="E330" i="6"/>
  <c r="J330" i="6" s="1"/>
  <c r="E331" i="6"/>
  <c r="J331" i="6" s="1"/>
  <c r="E332" i="6"/>
  <c r="J332" i="6" s="1"/>
  <c r="E333" i="6"/>
  <c r="J333" i="6" s="1"/>
  <c r="E334" i="6"/>
  <c r="J334" i="6" s="1"/>
  <c r="E335" i="6"/>
  <c r="J335" i="6" s="1"/>
  <c r="E336" i="6"/>
  <c r="J336" i="6" s="1"/>
  <c r="E337" i="6"/>
  <c r="J337" i="6" s="1"/>
  <c r="E338" i="6"/>
  <c r="J338" i="6" s="1"/>
  <c r="E339" i="6"/>
  <c r="J339" i="6" s="1"/>
  <c r="E340" i="6"/>
  <c r="J340" i="6" s="1"/>
  <c r="E341" i="6"/>
  <c r="J341" i="6" s="1"/>
  <c r="E342" i="6"/>
  <c r="J342" i="6" s="1"/>
  <c r="E343" i="6"/>
  <c r="J343" i="6" s="1"/>
  <c r="E344" i="6"/>
  <c r="J344" i="6" s="1"/>
  <c r="E345" i="6"/>
  <c r="J345" i="6" s="1"/>
  <c r="E346" i="6"/>
  <c r="J346" i="6" s="1"/>
  <c r="E347" i="6"/>
  <c r="J347" i="6" s="1"/>
  <c r="E348" i="6"/>
  <c r="J348" i="6" s="1"/>
  <c r="E349" i="6"/>
  <c r="J349" i="6" s="1"/>
  <c r="E350" i="6"/>
  <c r="J350" i="6" s="1"/>
  <c r="E351" i="6"/>
  <c r="J351" i="6" s="1"/>
  <c r="E352" i="6"/>
  <c r="J352" i="6" s="1"/>
  <c r="E353" i="6"/>
  <c r="J353" i="6" s="1"/>
  <c r="E354" i="6"/>
  <c r="J354" i="6" s="1"/>
  <c r="E355" i="6"/>
  <c r="J355" i="6" s="1"/>
  <c r="E356" i="6"/>
  <c r="J356" i="6" s="1"/>
  <c r="E357" i="6"/>
  <c r="J357" i="6" s="1"/>
  <c r="E358" i="6"/>
  <c r="J358" i="6" s="1"/>
  <c r="E359" i="6"/>
  <c r="J359" i="6" s="1"/>
  <c r="E360" i="6"/>
  <c r="J360" i="6" s="1"/>
  <c r="E361" i="6"/>
  <c r="J361" i="6" s="1"/>
  <c r="E362" i="6"/>
  <c r="J362" i="6" s="1"/>
  <c r="E363" i="6"/>
  <c r="J363" i="6" s="1"/>
  <c r="E364" i="6"/>
  <c r="J364" i="6" s="1"/>
  <c r="E365" i="6"/>
  <c r="J365" i="6" s="1"/>
  <c r="E366" i="6"/>
  <c r="J366" i="6" s="1"/>
  <c r="E367" i="6"/>
  <c r="J367" i="6" s="1"/>
  <c r="E368" i="6"/>
  <c r="J368" i="6" s="1"/>
  <c r="E369" i="6"/>
  <c r="J369" i="6" s="1"/>
  <c r="E370" i="6"/>
  <c r="J370" i="6" s="1"/>
  <c r="E371" i="6"/>
  <c r="J371" i="6" s="1"/>
  <c r="E372" i="6"/>
  <c r="J372" i="6" s="1"/>
  <c r="E373" i="6"/>
  <c r="J373" i="6" s="1"/>
  <c r="E374" i="6"/>
  <c r="J374" i="6" s="1"/>
  <c r="E375" i="6"/>
  <c r="J375" i="6" s="1"/>
  <c r="E376" i="6"/>
  <c r="J376" i="6" s="1"/>
  <c r="E377" i="6"/>
  <c r="J377" i="6" s="1"/>
  <c r="E378" i="6"/>
  <c r="J378" i="6" s="1"/>
  <c r="E379" i="6"/>
  <c r="J379" i="6" s="1"/>
  <c r="E380" i="6"/>
  <c r="J380" i="6" s="1"/>
  <c r="E381" i="6"/>
  <c r="J381" i="6" s="1"/>
  <c r="E382" i="6"/>
  <c r="J382" i="6" s="1"/>
  <c r="E383" i="6"/>
  <c r="J383" i="6" s="1"/>
  <c r="E384" i="6"/>
  <c r="J384" i="6" s="1"/>
  <c r="E385" i="6"/>
  <c r="J385" i="6" s="1"/>
  <c r="E386" i="6"/>
  <c r="J386" i="6" s="1"/>
  <c r="E387" i="6"/>
  <c r="J387" i="6" s="1"/>
  <c r="E388" i="6"/>
  <c r="J388" i="6" s="1"/>
  <c r="E389" i="6"/>
  <c r="J389" i="6" s="1"/>
  <c r="E390" i="6"/>
  <c r="J390" i="6" s="1"/>
  <c r="E391" i="6"/>
  <c r="J391" i="6" s="1"/>
  <c r="E392" i="6"/>
  <c r="J392" i="6" s="1"/>
  <c r="E393" i="6"/>
  <c r="J393" i="6" s="1"/>
  <c r="E394" i="6"/>
  <c r="J394" i="6" s="1"/>
  <c r="E395" i="6"/>
  <c r="J395" i="6" s="1"/>
  <c r="E396" i="6"/>
  <c r="J396" i="6" s="1"/>
  <c r="E397" i="6"/>
  <c r="J397" i="6" s="1"/>
  <c r="E398" i="6"/>
  <c r="J398" i="6" s="1"/>
  <c r="E399" i="6"/>
  <c r="J399" i="6" s="1"/>
  <c r="E400" i="6"/>
  <c r="J400" i="6" s="1"/>
  <c r="E401" i="6"/>
  <c r="J401" i="6" s="1"/>
  <c r="E402" i="6"/>
  <c r="J402" i="6" s="1"/>
  <c r="E403" i="6"/>
  <c r="J403" i="6" s="1"/>
  <c r="E404" i="6"/>
  <c r="J404" i="6" s="1"/>
  <c r="E405" i="6"/>
  <c r="J405" i="6" s="1"/>
  <c r="E406" i="6"/>
  <c r="J406" i="6" s="1"/>
  <c r="E407" i="6"/>
  <c r="J407" i="6" s="1"/>
  <c r="E408" i="6"/>
  <c r="J408" i="6" s="1"/>
  <c r="E409" i="6"/>
  <c r="J409" i="6" s="1"/>
  <c r="E410" i="6"/>
  <c r="J410" i="6" s="1"/>
  <c r="E411" i="6"/>
  <c r="J411" i="6" s="1"/>
  <c r="E412" i="6"/>
  <c r="J412" i="6" s="1"/>
  <c r="E413" i="6"/>
  <c r="J413" i="6" s="1"/>
  <c r="E414" i="6"/>
  <c r="J414" i="6" s="1"/>
  <c r="E415" i="6"/>
  <c r="J415" i="6" s="1"/>
  <c r="E416" i="6"/>
  <c r="J416" i="6" s="1"/>
  <c r="E417" i="6"/>
  <c r="J417" i="6" s="1"/>
  <c r="E418" i="6"/>
  <c r="J418" i="6" s="1"/>
  <c r="E419" i="6"/>
  <c r="J419" i="6" s="1"/>
  <c r="E420" i="6"/>
  <c r="J420" i="6" s="1"/>
  <c r="E421" i="6"/>
  <c r="J421" i="6" s="1"/>
  <c r="E422" i="6"/>
  <c r="J422" i="6" s="1"/>
  <c r="E423" i="6"/>
  <c r="J423" i="6" s="1"/>
  <c r="E424" i="6"/>
  <c r="J424" i="6" s="1"/>
  <c r="E425" i="6"/>
  <c r="J425" i="6" s="1"/>
  <c r="E426" i="6"/>
  <c r="J426" i="6" s="1"/>
  <c r="E427" i="6"/>
  <c r="J427" i="6" s="1"/>
  <c r="E428" i="6"/>
  <c r="J428" i="6" s="1"/>
  <c r="E429" i="6"/>
  <c r="J429" i="6" s="1"/>
  <c r="E430" i="6"/>
  <c r="J430" i="6" s="1"/>
  <c r="E431" i="6"/>
  <c r="J431" i="6" s="1"/>
  <c r="E432" i="6"/>
  <c r="J432" i="6" s="1"/>
  <c r="E433" i="6"/>
  <c r="J433" i="6" s="1"/>
  <c r="E434" i="6"/>
  <c r="J434" i="6" s="1"/>
  <c r="E435" i="6"/>
  <c r="J435" i="6" s="1"/>
  <c r="E436" i="6"/>
  <c r="J436" i="6" s="1"/>
  <c r="E437" i="6"/>
  <c r="J437" i="6" s="1"/>
  <c r="E438" i="6"/>
  <c r="J438" i="6" s="1"/>
  <c r="E439" i="6"/>
  <c r="J439" i="6" s="1"/>
  <c r="E440" i="6"/>
  <c r="J440" i="6" s="1"/>
  <c r="E441" i="6"/>
  <c r="J441" i="6" s="1"/>
  <c r="E442" i="6"/>
  <c r="J442" i="6" s="1"/>
  <c r="E443" i="6"/>
  <c r="J443" i="6" s="1"/>
  <c r="E444" i="6"/>
  <c r="J444" i="6" s="1"/>
  <c r="E445" i="6"/>
  <c r="J445" i="6" s="1"/>
  <c r="E446" i="6"/>
  <c r="J446" i="6" s="1"/>
  <c r="E447" i="6"/>
  <c r="J447" i="6" s="1"/>
  <c r="E448" i="6"/>
  <c r="J448" i="6" s="1"/>
  <c r="E449" i="6"/>
  <c r="J449" i="6" s="1"/>
  <c r="E450" i="6"/>
  <c r="J450" i="6" s="1"/>
  <c r="E451" i="6"/>
  <c r="J451" i="6" s="1"/>
  <c r="E452" i="6"/>
  <c r="J452" i="6" s="1"/>
  <c r="E453" i="6"/>
  <c r="J453" i="6" s="1"/>
  <c r="E454" i="6"/>
  <c r="J454" i="6" s="1"/>
  <c r="E455" i="6"/>
  <c r="J455" i="6" s="1"/>
  <c r="E456" i="6"/>
  <c r="J456" i="6" s="1"/>
  <c r="E457" i="6"/>
  <c r="J457" i="6" s="1"/>
  <c r="E458" i="6"/>
  <c r="J458" i="6" s="1"/>
  <c r="E459" i="6"/>
  <c r="J459" i="6" s="1"/>
  <c r="E460" i="6"/>
  <c r="J460" i="6" s="1"/>
  <c r="E461" i="6"/>
  <c r="J461" i="6" s="1"/>
  <c r="E462" i="6"/>
  <c r="J462" i="6" s="1"/>
  <c r="E463" i="6"/>
  <c r="J463" i="6" s="1"/>
  <c r="E464" i="6"/>
  <c r="J464" i="6" s="1"/>
  <c r="E465" i="6"/>
  <c r="J465" i="6" s="1"/>
  <c r="E466" i="6"/>
  <c r="J466" i="6" s="1"/>
  <c r="E467" i="6"/>
  <c r="J467" i="6" s="1"/>
  <c r="E468" i="6"/>
  <c r="J468" i="6" s="1"/>
  <c r="E469" i="6"/>
  <c r="J469" i="6" s="1"/>
  <c r="E470" i="6"/>
  <c r="J470" i="6" s="1"/>
  <c r="E471" i="6"/>
  <c r="J471" i="6" s="1"/>
  <c r="E472" i="6"/>
  <c r="J472" i="6" s="1"/>
  <c r="E473" i="6"/>
  <c r="J473" i="6" s="1"/>
  <c r="E474" i="6"/>
  <c r="J474" i="6" s="1"/>
  <c r="E475" i="6"/>
  <c r="J475" i="6" s="1"/>
  <c r="E476" i="6"/>
  <c r="J476" i="6" s="1"/>
  <c r="E477" i="6"/>
  <c r="J477" i="6" s="1"/>
  <c r="E478" i="6"/>
  <c r="J478" i="6" s="1"/>
  <c r="E479" i="6"/>
  <c r="J479" i="6" s="1"/>
  <c r="E480" i="6"/>
  <c r="J480" i="6" s="1"/>
  <c r="E481" i="6"/>
  <c r="J481" i="6" s="1"/>
  <c r="E482" i="6"/>
  <c r="J482" i="6" s="1"/>
  <c r="E483" i="6"/>
  <c r="J483" i="6" s="1"/>
  <c r="E484" i="6"/>
  <c r="J484" i="6" s="1"/>
  <c r="E485" i="6"/>
  <c r="J485" i="6" s="1"/>
  <c r="E486" i="6"/>
  <c r="J486" i="6" s="1"/>
  <c r="E487" i="6"/>
  <c r="J487" i="6" s="1"/>
  <c r="E488" i="6"/>
  <c r="J488" i="6" s="1"/>
  <c r="E489" i="6"/>
  <c r="J489" i="6" s="1"/>
  <c r="E490" i="6"/>
  <c r="J490" i="6" s="1"/>
  <c r="E491" i="6"/>
  <c r="J491" i="6" s="1"/>
  <c r="E492" i="6"/>
  <c r="J492" i="6" s="1"/>
  <c r="E493" i="6"/>
  <c r="J493" i="6" s="1"/>
  <c r="E494" i="6"/>
  <c r="J494" i="6" s="1"/>
  <c r="E495" i="6"/>
  <c r="J495" i="6" s="1"/>
  <c r="E496" i="6"/>
  <c r="J496" i="6" s="1"/>
  <c r="E497" i="6"/>
  <c r="J497" i="6" s="1"/>
  <c r="E498" i="6"/>
  <c r="J498" i="6" s="1"/>
  <c r="E499" i="6"/>
  <c r="J499" i="6" s="1"/>
  <c r="E500" i="6"/>
  <c r="J500" i="6" s="1"/>
  <c r="E501" i="6"/>
  <c r="J501" i="6" s="1"/>
  <c r="E502" i="6"/>
  <c r="J502" i="6" s="1"/>
  <c r="E503" i="6"/>
  <c r="J503" i="6" s="1"/>
  <c r="E504" i="6"/>
  <c r="J504" i="6" s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41" i="1"/>
  <c r="C53" i="1"/>
  <c r="C54" i="1"/>
  <c r="C55" i="1"/>
  <c r="C56" i="1"/>
  <c r="C57" i="1"/>
  <c r="C58" i="1"/>
  <c r="C59" i="1"/>
  <c r="C60" i="1"/>
  <c r="C61" i="1"/>
  <c r="C62" i="1"/>
  <c r="C42" i="1"/>
  <c r="C43" i="1"/>
  <c r="C44" i="1"/>
  <c r="C45" i="1"/>
  <c r="C46" i="1"/>
  <c r="C47" i="1"/>
  <c r="C48" i="1"/>
  <c r="C49" i="1"/>
  <c r="C50" i="1"/>
  <c r="C51" i="1"/>
  <c r="C52" i="1"/>
  <c r="C41" i="1"/>
  <c r="E7" i="6"/>
  <c r="J7" i="6" s="1"/>
  <c r="F3" i="6" l="1"/>
  <c r="H3" i="6"/>
  <c r="G3" i="6"/>
  <c r="E3" i="6"/>
</calcChain>
</file>

<file path=xl/comments1.xml><?xml version="1.0" encoding="utf-8"?>
<comments xmlns="http://schemas.openxmlformats.org/spreadsheetml/2006/main">
  <authors>
    <author>Wilmer Andres Camacho Velasco</author>
  </authors>
  <commentList>
    <comment ref="F5" authorId="0">
      <text>
        <r>
          <rPr>
            <sz val="9"/>
            <color indexed="81"/>
            <rFont val="Tahoma"/>
            <family val="2"/>
          </rPr>
          <t xml:space="preserve">Al cargar una novedad </t>
        </r>
        <r>
          <rPr>
            <sz val="9"/>
            <color indexed="81"/>
            <rFont val="Tahoma"/>
            <family val="2"/>
            <b/>
          </rPr>
          <t xml:space="preserve">LPF</t>
        </r>
        <r>
          <rPr>
            <sz val="9"/>
            <color indexed="81"/>
            <rFont val="Tahoma"/>
            <family val="2"/>
          </rPr>
          <t xml:space="preserve">, los días se calcularán a la mitad y se aproximarán al entero más cercano de acuerdo a las fechas</t>
        </r>
      </text>
    </comment>
  </commentList>
</comments>
</file>

<file path=xl/sharedStrings.xml><?xml version="1.0" encoding="utf-8"?>
<sst xmlns="http://schemas.openxmlformats.org/spreadsheetml/2006/main" count="348" uniqueCount="97">
  <si>
    <t xml:space="preserve">Resumen novedades</t>
  </si>
  <si>
    <t xml:space="preserve">IMPORTANTE</t>
  </si>
  <si>
    <t xml:space="preserve">Si creaste conceptos adicionales a los parametrizados en SIIGO NÓMINA, los debes adicionar en la pestaña de Conceptos creados por usuario</t>
  </si>
  <si>
    <t xml:space="preserve">#Contrato del empleado</t>
  </si>
  <si>
    <t xml:space="preserve">Identificación del empleado</t>
  </si>
  <si>
    <t xml:space="preserve">¿Qué novedad le vas a cargar?</t>
  </si>
  <si>
    <t xml:space="preserve">Tipo de Novedad</t>
  </si>
  <si>
    <t xml:space="preserve">Asigna la cantidad de Días/Horas o el valor de la novedad</t>
  </si>
  <si>
    <t xml:space="preserve">¿Cuál es la fecha de inicio de la novedad? (DD/MM/AAAA)</t>
  </si>
  <si>
    <t xml:space="preserve">¿Cuál es la fecha de fin de la novedad?  (DD/MM/AAAA)</t>
  </si>
  <si>
    <t xml:space="preserve">Indica en número, los días no hábiles (si no aplica coloca 0)</t>
  </si>
  <si>
    <t xml:space="preserve">Tipo</t>
  </si>
  <si>
    <t xml:space="preserve">HASTA ACA PUEDES INCLUIR INFORMACION, SI NECESITAS MAS SOLO EBES CREAR OTROS ARCHIVO</t>
  </si>
  <si>
    <t xml:space="preserve">CONCEPTOS CREADOS POR EL USUARIO</t>
  </si>
  <si>
    <t xml:space="preserve">Numero del concepto</t>
  </si>
  <si>
    <t xml:space="preserve">Nombre del concepto</t>
  </si>
  <si>
    <t xml:space="preserve">Tipo </t>
  </si>
  <si>
    <t xml:space="preserve">Si creaste conceptos adicionales a los parametrizados en SIIGO NUBE en la ruta Configuración - Nómina/usuarios - Parámetros de nómina - Conceptos de nómina, los debes adicionar en la tabla: CONCEPTOS CREADOS POR EL USUARIO</t>
  </si>
  <si>
    <t xml:space="preserve">concepto</t>
  </si>
  <si>
    <t xml:space="preserve">Código</t>
  </si>
  <si>
    <t xml:space="preserve">tipo in o d</t>
  </si>
  <si>
    <t xml:space="preserve">Tipo novedad</t>
  </si>
  <si>
    <t xml:space="preserve">tipo2</t>
  </si>
  <si>
    <t xml:space="preserve">01- Anticipo de cesantías- Ingreso</t>
  </si>
  <si>
    <t xml:space="preserve">Ingreso</t>
  </si>
  <si>
    <t xml:space="preserve">Valor $</t>
  </si>
  <si>
    <t xml:space="preserve">Dias</t>
  </si>
  <si>
    <t xml:space="preserve">02- Auxilio de transporte- Ingreso</t>
  </si>
  <si>
    <t xml:space="preserve">Horas</t>
  </si>
  <si>
    <t xml:space="preserve">Deducción</t>
  </si>
  <si>
    <t xml:space="preserve">03- Cesantías anuales- Ingreso</t>
  </si>
  <si>
    <t xml:space="preserve">06- Hora dominical o festiva nocturna- Ingreso</t>
  </si>
  <si>
    <t xml:space="preserve">07- Hora extra diurna dominical o festiva- Ingreso</t>
  </si>
  <si>
    <t xml:space="preserve">08- Hora extra recargo dominical o festivo- Ingreso</t>
  </si>
  <si>
    <t xml:space="preserve">09- Hora extra recargo nocturno- Ingreso</t>
  </si>
  <si>
    <t xml:space="preserve">10- Horas extras diurnas 125%- Ingreso</t>
  </si>
  <si>
    <t xml:space="preserve">11- Horas extras nocturnas 175%- Ingreso</t>
  </si>
  <si>
    <t xml:space="preserve">12- Horas extras nocturnas dominical o festiva- Ingreso</t>
  </si>
  <si>
    <t xml:space="preserve">13- Incapacidad por enfermedad general al 100%- Ingreso</t>
  </si>
  <si>
    <t xml:space="preserve">14- Incapacidad por enfermedad general al 50%- Ingreso</t>
  </si>
  <si>
    <t xml:space="preserve">15- Incapacidad por enfermedad general al 66%- Ingreso</t>
  </si>
  <si>
    <t xml:space="preserve">16- Incapacidad por enfermedad profesional- Ingreso</t>
  </si>
  <si>
    <t xml:space="preserve">19- Intereses de cesantías- Ingreso</t>
  </si>
  <si>
    <t xml:space="preserve">20- Licencia maternidad- Ingreso</t>
  </si>
  <si>
    <t xml:space="preserve">20- Licencia maternidad (LPF) - Ingreso</t>
  </si>
  <si>
    <t xml:space="preserve">21- Licencia por luto- Ingreso</t>
  </si>
  <si>
    <t xml:space="preserve">22- Licencia remunerada- Ingreso</t>
  </si>
  <si>
    <t xml:space="preserve">23- Prima de servicios- Ingreso</t>
  </si>
  <si>
    <t xml:space="preserve">25- Recargo dominical o festivo- Ingreso</t>
  </si>
  <si>
    <t xml:space="preserve">26- Recargo nocturno- Ingreso</t>
  </si>
  <si>
    <t xml:space="preserve">27- Recargo nocturno dominical o festivo ordinario- Ingreso</t>
  </si>
  <si>
    <t xml:space="preserve">30- Vacaciones compensadas- Ingreso</t>
  </si>
  <si>
    <t xml:space="preserve">31- Vacaciones disfrutadas- Ingreso</t>
  </si>
  <si>
    <t xml:space="preserve">34- Descuento prima- Deducción</t>
  </si>
  <si>
    <t xml:space="preserve">35- Fondo de pensión- Deducción</t>
  </si>
  <si>
    <t xml:space="preserve">36- Fondo de salud- Deducción</t>
  </si>
  <si>
    <t xml:space="preserve">37- Fondo de solidaridad pensional- Deducción</t>
  </si>
  <si>
    <t xml:space="preserve">38- Licencia no remunerada- Deducción</t>
  </si>
  <si>
    <t xml:space="preserve">39- Retefuente- Deducción</t>
  </si>
  <si>
    <t xml:space="preserve">41- Retefuente prima de servicios- Deducción</t>
  </si>
  <si>
    <t xml:space="preserve">42- Ahorros- Ingreso</t>
  </si>
  <si>
    <t xml:space="preserve">43- Bonificaciones ocasionales- Ingreso</t>
  </si>
  <si>
    <t xml:space="preserve">44- Comisiones- Ingreso</t>
  </si>
  <si>
    <t xml:space="preserve">45- Aporte voluntario AFC- Deducción</t>
  </si>
  <si>
    <t xml:space="preserve">46- Aporte voluntario de pensión- Deducción</t>
  </si>
  <si>
    <t xml:space="preserve">47- Embargos- Deducción</t>
  </si>
  <si>
    <t xml:space="preserve">48- Prestamos- Deducción</t>
  </si>
  <si>
    <t xml:space="preserve">Nombre del empleado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</si>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</sst>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7274E"/>
      <name val="Calibri"/>
      <family val="2"/>
      <scheme val="minor"/>
    </font>
    <font>
      <u val="single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 tint="-0.1499984740745262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 xfId="0"/>
    <xf numFmtId="0" fontId="2" fillId="0" borderId="0" xfId="0"/>
    <xf numFmtId="43" fontId="1" fillId="0" borderId="0" xfId="0"/>
  </cellStyleXfs>
  <cellXfs count="53">
    <xf numFmtId="0" fontId="0" fillId="0" borderId="0" xfId="0"/>
    <xf numFmtId="164" fontId="0" fillId="0" borderId="0" xfId="2" applyNumberFormat="1" applyFont="1" applyProtection="1">
      <protection locked="0"/>
    </xf>
    <xf numFmtId="0" fontId="0" fillId="0" borderId="0" xfId="0" applyProtection="1">
      <protection locked="0"/>
    </xf>
    <xf numFmtId="43" fontId="0" fillId="0" borderId="0" xfId="2" applyFont="1" applyProtection="1">
      <protection locked="0"/>
    </xf>
    <xf numFmtId="1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0" fontId="0" fillId="4" borderId="0" xfId="0" applyFill="1" applyProtection="1">
      <protection locked="0"/>
    </xf>
    <xf numFmtId="164" fontId="0" fillId="2" borderId="0" xfId="2" applyNumberFormat="1" applyFont="1" applyFill="1" applyProtection="1">
      <protection locked="0"/>
    </xf>
    <xf numFmtId="0" fontId="0" fillId="2" borderId="0" xfId="0" applyFill="1" applyProtection="1">
      <protection locked="0"/>
    </xf>
    <xf numFmtId="43" fontId="0" fillId="2" borderId="0" xfId="2" applyFont="1" applyFill="1" applyProtection="1">
      <protection locked="0"/>
    </xf>
    <xf numFmtId="14" fontId="0" fillId="2" borderId="0" xfId="0" applyNumberFormat="1" applyFill="1" applyProtection="1">
      <protection locked="0"/>
    </xf>
    <xf numFmtId="0" fontId="0" fillId="2" borderId="2" xfId="0" applyFill="1" applyBorder="1" applyProtection="1">
      <protection locked="0"/>
    </xf>
    <xf numFmtId="164" fontId="0" fillId="0" borderId="0" xfId="2" applyNumberFormat="1" applyFont="1" applyProtection="1"/>
    <xf numFmtId="43" fontId="0" fillId="0" borderId="0" xfId="2" applyFont="1" applyProtection="1"/>
    <xf numFmtId="14" fontId="0" fillId="0" borderId="0" xfId="0" applyNumberFormat="1"/>
    <xf numFmtId="164" fontId="0" fillId="4" borderId="0" xfId="2" applyNumberFormat="1" applyFont="1" applyFill="1" applyProtection="1"/>
    <xf numFmtId="0" fontId="0" fillId="4" borderId="0" xfId="0" applyFill="1"/>
    <xf numFmtId="43" fontId="4" fillId="4" borderId="7" xfId="2" applyFont="1" applyFill="1" applyBorder="1" applyAlignment="1" applyProtection="1">
      <alignment horizontal="center" vertical="center" wrapText="1"/>
    </xf>
    <xf numFmtId="43" fontId="4" fillId="4" borderId="6" xfId="2" applyFont="1" applyFill="1" applyBorder="1" applyAlignment="1" applyProtection="1">
      <alignment horizontal="center" vertical="center" wrapText="1"/>
    </xf>
    <xf numFmtId="43" fontId="4" fillId="4" borderId="8" xfId="2" applyFont="1" applyFill="1" applyBorder="1" applyAlignment="1" applyProtection="1">
      <alignment horizontal="center" vertical="center" wrapText="1"/>
    </xf>
    <xf numFmtId="14" fontId="0" fillId="4" borderId="0" xfId="0" applyNumberFormat="1" applyFill="1"/>
    <xf numFmtId="43" fontId="4" fillId="4" borderId="0" xfId="2" applyFont="1" applyFill="1" applyBorder="1" applyAlignment="1" applyProtection="1">
      <alignment horizontal="center" vertical="center" wrapText="1"/>
    </xf>
    <xf numFmtId="164" fontId="3" fillId="3" borderId="3" xfId="2" applyNumberFormat="1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3" fontId="3" fillId="3" borderId="5" xfId="2" applyFont="1" applyFill="1" applyBorder="1" applyAlignment="1" applyProtection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43" fontId="0" fillId="4" borderId="0" xfId="2" applyFont="1" applyFill="1" applyProtection="1"/>
    <xf numFmtId="0" fontId="0" fillId="4" borderId="2" xfId="0" applyFill="1" applyBorder="1"/>
    <xf numFmtId="0" fontId="0" fillId="2" borderId="0" xfId="0" applyFill="1"/>
    <xf numFmtId="0" fontId="4" fillId="0" borderId="1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10" xfId="0" applyBorder="1" applyAlignment="1" applyProtection="1">
      <alignment horizontal="center" wrapText="1"/>
      <protection locked="0"/>
    </xf>
    <xf numFmtId="0" fontId="0" fillId="0" borderId="10" xfId="0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3" fillId="3" borderId="18" xfId="2" applyNumberFormat="1" applyFont="1" applyFill="1" applyBorder="1" applyAlignment="1" applyProtection="1">
      <alignment horizontal="center" vertical="center" wrapText="1"/>
    </xf>
    <xf numFmtId="0" fontId="6" fillId="0" borderId="0" xfId="0" applyFont="1"/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43" fontId="3" fillId="3" borderId="7" xfId="2" applyFont="1" applyFill="1" applyBorder="1" applyAlignment="1" applyProtection="1">
      <alignment horizontal="center" vertical="center" wrapText="1"/>
    </xf>
    <xf numFmtId="43" fontId="3" fillId="3" borderId="8" xfId="2" applyFont="1" applyFill="1" applyBorder="1" applyAlignment="1" applyProtection="1">
      <alignment horizontal="center" vertical="center" wrapText="1"/>
    </xf>
    <xf numFmtId="43" fontId="3" fillId="3" borderId="9" xfId="2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4" fillId="0" borderId="17" xfId="0" applyFont="1" applyBorder="1" applyAlignment="1" applyProtection="1">
      <alignment horizontal="center" vertical="center" wrapText="1"/>
      <protection locked="0"/>
    </xf>
  </cellXfs>
  <cellStyles count="3">
    <cellStyle name="Millares" xfId="2" builtinId="3"/>
    <cellStyle name="Normal" xfId="0" builtinId="0"/>
    <cellStyle name="Normal 2" xfId="1" builtinId="0"/>
  </cellStyles>
  <dxfs count="0"/>
  <tableStyles count="0" defaultTableStyle="TableStyleMedium2" defaultPivotStyle="PivotStyleLight16"/>
  <colors>
    <mruColors>
      <color rgb="FFF7274E"/>
      <color rgb="FFFF660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calcChain" Target="calcChain.xml" /><Relationship Id="rId8" Type="http://schemas.openxmlformats.org/officeDocument/2006/relationships/customXml" Target="../customXml/item1.xml" /><Relationship Id="rId9" Type="http://schemas.openxmlformats.org/officeDocument/2006/relationships/customXml" Target="../customXml/item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867288</xdr:colOff>
      <xdr:row>1</xdr:row>
      <xdr:rowOff>168333</xdr:rowOff>
    </xdr:from>
    <xdr:to>
      <xdr:col>2</xdr:col>
      <xdr:colOff>1247774</xdr:colOff>
      <xdr:row>3</xdr:row>
      <xdr:rowOff>76201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288" y="368358"/>
          <a:ext cx="2809361" cy="9079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Hoja3"/>
  <dimension ref="A1:AK527"/>
  <sheetViews>
    <sheetView tabSelected="1" workbookViewId="0">
      <selection activeCell="A6" sqref="A6"/>
    </sheetView>
  </sheetViews>
  <sheetFormatPr baseColWidth="10" defaultColWidth="31" defaultRowHeight="15" x14ac:dyDescent="0.25"/>
  <cols>
    <col min="1" max="1" width="17.85546875" style="1" customWidth="1"/>
    <col min="2" max="2" width="18.5703125" style="1" customWidth="1"/>
    <col min="3" max="3" width="27.42578125" style="1" customWidth="1"/>
    <col min="4" max="4" width="38.85546875" style="2" customWidth="1"/>
    <col min="5" max="5" width="21.5703125" style="3" customWidth="1"/>
    <col min="6" max="6" width="20.5703125" style="3" customWidth="1"/>
    <col min="7" max="7" width="23.42578125" style="3" customWidth="1"/>
    <col min="8" max="8" width="25.5703125" style="4" customWidth="1"/>
    <col min="9" max="9" width="22.140625" style="4" customWidth="1"/>
    <col min="10" max="10" width="10.28515625" style="2" hidden="1" customWidth="1"/>
    <col min="11" max="11" width="15" customWidth="1"/>
    <col min="12" max="12" width="15.7109375" customWidth="1"/>
    <col min="13" max="13" width="24.42578125" customWidth="1"/>
    <col min="14" max="14" width="18.7109375" style="2" bestFit="1" customWidth="1"/>
    <col min="15" max="15" width="14.140625" style="2" customWidth="1"/>
    <col min="16" max="16" width="11.42578125" style="2" customWidth="1"/>
    <col min="17" max="17" width="23.85546875" style="2" customWidth="1"/>
    <col min="18" max="18" width="24.7109375" style="2" customWidth="1"/>
    <col min="19" max="19" width="29.85546875" style="2" customWidth="1"/>
    <col min="20" max="20" width="22.5703125" style="5" customWidth="1"/>
    <col min="21" max="21" width="36.85546875" style="6" bestFit="1" customWidth="1"/>
    <col min="22" max="22" width="38.5703125" style="6" bestFit="1" customWidth="1"/>
    <col min="23" max="23" width="21.5703125" style="6" bestFit="1" customWidth="1"/>
    <col min="24" max="24" width="21" style="6" bestFit="1" customWidth="1"/>
    <col min="25" max="25" width="21.85546875" style="6" bestFit="1" customWidth="1"/>
    <col min="26" max="26" width="14.28515625" style="6" bestFit="1" customWidth="1"/>
    <col min="27" max="37" width="31" style="6"/>
    <col min="38" max="16384" width="31" style="2"/>
  </cols>
  <sheetData>
    <row r="1" spans="1:37" customFormat="1" ht="15.75" thickBot="1" x14ac:dyDescent="0.3">
      <c r="A1" s="12"/>
      <c r="B1" s="12"/>
      <c r="C1" s="12"/>
      <c r="E1" s="13"/>
      <c r="F1" s="13"/>
      <c r="G1" s="13"/>
      <c r="H1" s="14"/>
      <c r="I1" s="14"/>
      <c r="T1" s="28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customFormat="1" ht="16.5" customHeight="1" thickBot="1" x14ac:dyDescent="0.3">
      <c r="A2" s="12"/>
      <c r="B2" s="12"/>
      <c r="C2" s="12"/>
      <c r="E2" s="40" t="s">
        <v>0</v>
      </c>
      <c r="F2" s="41"/>
      <c r="G2" s="41"/>
      <c r="H2" s="42"/>
      <c r="I2" s="46" t="s">
        <v>1</v>
      </c>
      <c r="J2" s="47"/>
      <c r="K2" s="48"/>
      <c r="T2" s="28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7" s="16" customFormat="1" ht="62.25" customHeight="1" thickBot="1" x14ac:dyDescent="0.3">
      <c r="A3" s="15"/>
      <c r="B3" s="15"/>
      <c r="C3" s="15"/>
      <c r="E3" s="17" t="str">
        <f>CONCATENATE((COUNTIF(E6:E504,"Horas"))," novedad(es), con un total de ",(SUMIF(E6:E504,"Horas",F6:F504))," HORAS")</f>
        <v>0 novedad(es), con un total de 0 HORAS</v>
      </c>
      <c r="F3" s="18" t="str">
        <f>CONCATENATE((COUNTIF(E6:E504,"Dias"))," novedad(es), con un total de ",(SUMIF(E6:E504,"Dias",F6:F504))," DIAS")</f>
        <v>0 novedad(es), con un total de 0 DIAS</v>
      </c>
      <c r="G3" s="19" t="str">
        <f>CONCATENATE((COUNTIF(J6:J504,"IngresoValor $"))," novedad(es) de INGRESO con un valor total: ",(SUMIF(J:J,"IngresoValor $",F:F)))</f>
        <v>0 novedad(es) de INGRESO con un valor total: 0</v>
      </c>
      <c r="H3" s="18" t="str">
        <f>CONCATENATE((COUNTIF(J6:J504,"DeducciónValor $"))," novedad(es) de DEDUCCIÓN con un valor total: ",(SUMIF(J:J,"DeducciónValor $",Novedades!F:F)))</f>
        <v>0 novedad(es) de DEDUCCIÓN con un valor total: 0</v>
      </c>
      <c r="I3" s="43" t="s">
        <v>2</v>
      </c>
      <c r="J3" s="44"/>
      <c r="K3" s="45"/>
      <c r="Q3" s="29"/>
      <c r="T3" s="30"/>
    </row>
    <row r="4" spans="1:37" s="16" customFormat="1" ht="6.75" customHeight="1" thickBot="1" x14ac:dyDescent="0.3">
      <c r="A4" s="15"/>
      <c r="B4" s="15"/>
      <c r="C4" s="15"/>
      <c r="E4" s="21"/>
      <c r="F4" s="21"/>
      <c r="G4" s="21"/>
      <c r="H4" s="21"/>
      <c r="I4" s="20"/>
      <c r="Q4" s="29"/>
    </row>
    <row r="5" spans="1:37" s="27" customFormat="1" ht="63" customHeight="1" thickBot="1" x14ac:dyDescent="0.3">
      <c r="A5" s="22" t="s">
        <v>3</v>
      </c>
      <c r="B5" s="38" t="s">
        <v>4</v>
      </c>
      <c r="C5" s="38" t="s">
        <v>67</v>
      </c>
      <c r="D5" s="23" t="s">
        <v>5</v>
      </c>
      <c r="E5" s="24" t="s">
        <v>6</v>
      </c>
      <c r="F5" s="24" t="s">
        <v>7</v>
      </c>
      <c r="G5" s="25" t="s">
        <v>8</v>
      </c>
      <c r="H5" s="26" t="s">
        <v>9</v>
      </c>
      <c r="I5" s="23" t="s">
        <v>10</v>
      </c>
      <c r="J5" s="23" t="s">
        <v>11</v>
      </c>
    </row>
    <row r="6" spans="1:37" x14ac:dyDescent="0.25">
      <c r="A6"/>
      <c r="B6"/>
      <c r="C6"/>
      <c r="E6" t="str">
        <f>IF(D6="","",(VLOOKUP(D6,datos!A:D,4,FALSE)))</f>
        <v/>
      </c>
      <c r="G6" s="4"/>
      <c r="I6" s="2"/>
      <c r="J6" s="2" t="str">
        <f>CONCATENATE((IF(A6="","",(VLOOKUP(Novedades!D6,datos!$A$1:$C$46,3,FALSE)))),E6)</f>
        <v/>
      </c>
    </row>
    <row r="7" spans="1:37" x14ac:dyDescent="0.25">
      <c r="A7"/>
      <c r="B7"/>
      <c r="C7"/>
      <c r="E7" t="str">
        <f>IF(D7="","",(VLOOKUP(D7,datos!A:D,4,FALSE)))</f>
        <v/>
      </c>
      <c r="G7" s="4"/>
      <c r="I7" s="2"/>
      <c r="J7" s="2" t="str">
        <f>CONCATENATE((IF(A7="","",(VLOOKUP(Novedades!D7,datos!$A$1:$C$46,3,FALSE)))),E7)</f>
        <v/>
      </c>
      <c r="K7" s="39"/>
    </row>
    <row r="8" spans="1:37" x14ac:dyDescent="0.25">
      <c r="A8"/>
      <c r="B8"/>
      <c r="C8"/>
      <c r="E8" t="str">
        <f>IF(D8="","",(VLOOKUP(D8,datos!A:D,4,FALSE)))</f>
        <v/>
      </c>
      <c r="G8" s="4"/>
      <c r="I8" s="2"/>
      <c r="J8" s="2" t="str">
        <f>CONCATENATE((IF(A8="","",(VLOOKUP(Novedades!D8,datos!$A$1:$C$46,3,FALSE)))),E8)</f>
        <v/>
      </c>
    </row>
    <row r="9" spans="1:37" x14ac:dyDescent="0.25">
      <c r="A9"/>
      <c r="B9"/>
      <c r="C9"/>
      <c r="E9" t="str">
        <f>IF(D9="","",(VLOOKUP(D9,datos!A:D,4,FALSE)))</f>
        <v/>
      </c>
      <c r="G9" s="4"/>
      <c r="I9" s="2"/>
      <c r="J9" s="2" t="str">
        <f>CONCATENATE((IF(A9="","",(VLOOKUP(Novedades!D9,datos!$A$1:$C$46,3,FALSE)))),E9)</f>
        <v/>
      </c>
    </row>
    <row r="10" spans="1:37" x14ac:dyDescent="0.25">
      <c r="A10"/>
      <c r="B10"/>
      <c r="C10"/>
      <c r="E10" t="str">
        <f>IF(D10="","",(VLOOKUP(D10,datos!A:D,4,FALSE)))</f>
        <v/>
      </c>
      <c r="G10" s="4"/>
      <c r="I10" s="2"/>
      <c r="J10" s="2" t="str">
        <f>CONCATENATE((IF(A10="","",(VLOOKUP(Novedades!D10,datos!$A$1:$C$46,3,FALSE)))),E10)</f>
        <v/>
      </c>
    </row>
    <row r="11" spans="1:37" x14ac:dyDescent="0.25">
      <c r="A11"/>
      <c r="B11"/>
      <c r="C11"/>
      <c r="E11" t="str">
        <f>IF(D11="","",(VLOOKUP(D11,datos!A:D,4,FALSE)))</f>
        <v/>
      </c>
      <c r="G11" s="4"/>
      <c r="I11" s="2"/>
      <c r="J11" s="2" t="str">
        <f>CONCATENATE((IF(A11="","",(VLOOKUP(Novedades!D11,datos!$A$1:$C$46,3,FALSE)))),E11)</f>
        <v/>
      </c>
    </row>
    <row r="12" spans="1:37" x14ac:dyDescent="0.25">
      <c r="A12"/>
      <c r="B12"/>
      <c r="C12"/>
      <c r="E12" t="str">
        <f>IF(D12="","",(VLOOKUP(D12,datos!A:D,4,FALSE)))</f>
        <v/>
      </c>
      <c r="G12" s="4"/>
      <c r="I12" s="2"/>
      <c r="J12" s="2" t="str">
        <f>CONCATENATE((IF(A12="","",(VLOOKUP(Novedades!D12,datos!$A$1:$C$46,3,FALSE)))),E12)</f>
        <v/>
      </c>
    </row>
    <row r="13" spans="1:37" x14ac:dyDescent="0.25">
      <c r="A13"/>
      <c r="B13"/>
      <c r="C13"/>
      <c r="E13" t="str">
        <f>IF(D13="","",(VLOOKUP(D13,datos!A:D,4,FALSE)))</f>
        <v/>
      </c>
      <c r="G13" s="4"/>
      <c r="I13" s="2"/>
      <c r="J13" s="2" t="str">
        <f>CONCATENATE((IF(A13="","",(VLOOKUP(Novedades!D13,datos!$A$1:$C$46,3,FALSE)))),E13)</f>
        <v/>
      </c>
    </row>
    <row r="14" spans="1:37" x14ac:dyDescent="0.25">
      <c r="A14"/>
      <c r="B14"/>
      <c r="C14"/>
      <c r="E14" t="str">
        <f>IF(D14="","",(VLOOKUP(D14,datos!A:D,4,FALSE)))</f>
        <v/>
      </c>
      <c r="G14" s="4"/>
      <c r="I14" s="2"/>
      <c r="J14" s="2" t="str">
        <f>CONCATENATE((IF(A14="","",(VLOOKUP(Novedades!D14,datos!$A$1:$C$46,3,FALSE)))),E14)</f>
        <v/>
      </c>
    </row>
    <row r="15" spans="1:37" x14ac:dyDescent="0.25">
      <c r="A15"/>
      <c r="B15"/>
      <c r="C15"/>
      <c r="E15" t="str">
        <f>IF(D15="","",(VLOOKUP(D15,datos!A:D,4,FALSE)))</f>
        <v/>
      </c>
      <c r="G15" s="4"/>
      <c r="I15" s="2"/>
      <c r="J15" s="2" t="str">
        <f>CONCATENATE((IF(A15="","",(VLOOKUP(Novedades!D15,datos!$A$1:$C$46,3,FALSE)))),E15)</f>
        <v/>
      </c>
    </row>
    <row r="16" spans="1:37" x14ac:dyDescent="0.25">
      <c r="A16"/>
      <c r="B16"/>
      <c r="C16"/>
      <c r="E16" t="str">
        <f>IF(D16="","",(VLOOKUP(D16,datos!A:D,4,FALSE)))</f>
        <v/>
      </c>
      <c r="G16" s="4"/>
      <c r="I16" s="2"/>
      <c r="J16" s="2" t="str">
        <f>CONCATENATE((IF(A16="","",(VLOOKUP(Novedades!D16,datos!$A$1:$C$46,3,FALSE)))),E16)</f>
        <v/>
      </c>
    </row>
    <row r="17" spans="5:10" x14ac:dyDescent="0.25">
      <c r="A17"/>
      <c r="B17"/>
      <c r="C17"/>
      <c r="E17" t="str">
        <f>IF(D17="","",(VLOOKUP(D17,datos!A:D,4,FALSE)))</f>
        <v/>
      </c>
      <c r="G17" s="4"/>
      <c r="I17" s="2"/>
      <c r="J17" s="2" t="str">
        <f>CONCATENATE((IF(A17="","",(VLOOKUP(Novedades!D17,datos!$A$1:$C$46,3,FALSE)))),E17)</f>
        <v/>
      </c>
    </row>
    <row r="18" spans="5:10" x14ac:dyDescent="0.25">
      <c r="A18"/>
      <c r="B18"/>
      <c r="C18"/>
      <c r="E18" t="str">
        <f>IF(D18="","",(VLOOKUP(D18,datos!A:D,4,FALSE)))</f>
        <v/>
      </c>
      <c r="G18" s="4"/>
      <c r="I18" s="2"/>
      <c r="J18" s="2" t="str">
        <f>CONCATENATE((IF(A18="","",(VLOOKUP(Novedades!D18,datos!$A$1:$C$46,3,FALSE)))),E18)</f>
        <v/>
      </c>
    </row>
    <row r="19" spans="5:10" x14ac:dyDescent="0.25">
      <c r="A19"/>
      <c r="B19"/>
      <c r="C19"/>
      <c r="E19" t="str">
        <f>IF(D19="","",(VLOOKUP(D19,datos!A:D,4,FALSE)))</f>
        <v/>
      </c>
      <c r="G19" s="4"/>
      <c r="I19" s="2"/>
      <c r="J19" s="2" t="str">
        <f>CONCATENATE((IF(A19="","",(VLOOKUP(Novedades!D19,datos!$A$1:$C$46,3,FALSE)))),E19)</f>
        <v/>
      </c>
    </row>
    <row r="20" spans="5:10" x14ac:dyDescent="0.25">
      <c r="E20" t="str">
        <f>IF(D20="","",(VLOOKUP(D20,datos!A:D,4,FALSE)))</f>
        <v/>
      </c>
      <c r="G20" s="4"/>
      <c r="I20" s="2"/>
      <c r="J20" s="2" t="str">
        <f>CONCATENATE((IF(A20="","",(VLOOKUP(Novedades!D20,datos!$A$1:$C$46,3,FALSE)))),E20)</f>
        <v/>
      </c>
    </row>
    <row r="21" spans="5:10" x14ac:dyDescent="0.25">
      <c r="E21" t="str">
        <f>IF(D21="","",(VLOOKUP(D21,datos!A:D,4,FALSE)))</f>
        <v/>
      </c>
      <c r="G21" s="4"/>
      <c r="I21" s="2"/>
      <c r="J21" s="2" t="str">
        <f>CONCATENATE((IF(A21="","",(VLOOKUP(Novedades!D21,datos!$A$1:$C$46,3,FALSE)))),E21)</f>
        <v/>
      </c>
    </row>
    <row r="22" spans="5:10" x14ac:dyDescent="0.25">
      <c r="E22" t="str">
        <f>IF(D22="","",(VLOOKUP(D22,datos!A:D,4,FALSE)))</f>
        <v/>
      </c>
      <c r="G22" s="4"/>
      <c r="I22" s="2"/>
      <c r="J22" s="2" t="str">
        <f>CONCATENATE((IF(A22="","",(VLOOKUP(Novedades!D22,datos!$A$1:$C$46,3,FALSE)))),E22)</f>
        <v/>
      </c>
    </row>
    <row r="23" spans="5:10" x14ac:dyDescent="0.25">
      <c r="E23" t="str">
        <f>IF(D23="","",(VLOOKUP(D23,datos!A:D,4,FALSE)))</f>
        <v/>
      </c>
      <c r="G23" s="4"/>
      <c r="I23" s="2"/>
      <c r="J23" s="2" t="str">
        <f>CONCATENATE((IF(A23="","",(VLOOKUP(Novedades!D23,datos!$A$1:$C$46,3,FALSE)))),E23)</f>
        <v/>
      </c>
    </row>
    <row r="24" spans="5:10" x14ac:dyDescent="0.25">
      <c r="E24" t="str">
        <f>IF(D24="","",(VLOOKUP(D24,datos!A:D,4,FALSE)))</f>
        <v/>
      </c>
      <c r="G24" s="4"/>
      <c r="I24" s="2"/>
      <c r="J24" s="2" t="str">
        <f>CONCATENATE((IF(A24="","",(VLOOKUP(Novedades!D24,datos!$A$1:$C$46,3,FALSE)))),E24)</f>
        <v/>
      </c>
    </row>
    <row r="25" spans="5:10" x14ac:dyDescent="0.25">
      <c r="E25" t="str">
        <f>IF(D25="","",(VLOOKUP(D25,datos!A:D,4,FALSE)))</f>
        <v/>
      </c>
      <c r="G25" s="4"/>
      <c r="I25" s="2"/>
      <c r="J25" s="2" t="str">
        <f>CONCATENATE((IF(A25="","",(VLOOKUP(Novedades!D25,datos!$A$1:$C$46,3,FALSE)))),E25)</f>
        <v/>
      </c>
    </row>
    <row r="26" spans="5:10" x14ac:dyDescent="0.25">
      <c r="E26" t="str">
        <f>IF(D26="","",(VLOOKUP(D26,datos!A:D,4,FALSE)))</f>
        <v/>
      </c>
      <c r="G26" s="4"/>
      <c r="I26" s="2"/>
      <c r="J26" s="2" t="str">
        <f>CONCATENATE((IF(A26="","",(VLOOKUP(Novedades!D26,datos!$A$1:$C$46,3,FALSE)))),E26)</f>
        <v/>
      </c>
    </row>
    <row r="27" spans="5:10" x14ac:dyDescent="0.25">
      <c r="E27" t="str">
        <f>IF(D27="","",(VLOOKUP(D27,datos!A:D,4,FALSE)))</f>
        <v/>
      </c>
      <c r="G27" s="4"/>
      <c r="I27" s="2"/>
      <c r="J27" s="2" t="str">
        <f>CONCATENATE((IF(A27="","",(VLOOKUP(Novedades!D27,datos!$A$1:$C$46,3,FALSE)))),E27)</f>
        <v/>
      </c>
    </row>
    <row r="28" spans="5:10" x14ac:dyDescent="0.25">
      <c r="E28" t="str">
        <f>IF(D28="","",(VLOOKUP(D28,datos!A:D,4,FALSE)))</f>
        <v/>
      </c>
      <c r="G28" s="4"/>
      <c r="I28" s="2"/>
      <c r="J28" s="2" t="str">
        <f>CONCATENATE((IF(A28="","",(VLOOKUP(Novedades!D28,datos!$A$1:$C$46,3,FALSE)))),E28)</f>
        <v/>
      </c>
    </row>
    <row r="29" spans="5:10" x14ac:dyDescent="0.25">
      <c r="E29" t="str">
        <f>IF(D29="","",(VLOOKUP(D29,datos!A:D,4,FALSE)))</f>
        <v/>
      </c>
      <c r="G29" s="4"/>
      <c r="I29" s="2"/>
      <c r="J29" s="2" t="str">
        <f>CONCATENATE((IF(A29="","",(VLOOKUP(Novedades!D29,datos!$A$1:$C$46,3,FALSE)))),E29)</f>
        <v/>
      </c>
    </row>
    <row r="30" spans="5:10" x14ac:dyDescent="0.25">
      <c r="E30" t="str">
        <f>IF(D30="","",(VLOOKUP(D30,datos!A:D,4,FALSE)))</f>
        <v/>
      </c>
      <c r="G30" s="4"/>
      <c r="I30" s="2"/>
      <c r="J30" s="2" t="str">
        <f>CONCATENATE((IF(A30="","",(VLOOKUP(Novedades!D30,datos!$A$1:$C$46,3,FALSE)))),E30)</f>
        <v/>
      </c>
    </row>
    <row r="31" spans="5:10" x14ac:dyDescent="0.25">
      <c r="E31" t="str">
        <f>IF(D31="","",(VLOOKUP(D31,datos!A:D,4,FALSE)))</f>
        <v/>
      </c>
      <c r="G31" s="4"/>
      <c r="I31" s="2"/>
      <c r="J31" s="2" t="str">
        <f>CONCATENATE((IF(A31="","",(VLOOKUP(Novedades!D31,datos!$A$1:$C$46,3,FALSE)))),E31)</f>
        <v/>
      </c>
    </row>
    <row r="32" spans="5:10" x14ac:dyDescent="0.25">
      <c r="E32" t="str">
        <f>IF(D32="","",(VLOOKUP(D32,datos!A:D,4,FALSE)))</f>
        <v/>
      </c>
      <c r="G32" s="4"/>
      <c r="I32" s="2"/>
      <c r="J32" s="2" t="str">
        <f>CONCATENATE((IF(A32="","",(VLOOKUP(Novedades!D32,datos!$A$1:$C$46,3,FALSE)))),E32)</f>
        <v/>
      </c>
    </row>
    <row r="33" spans="5:10" x14ac:dyDescent="0.25">
      <c r="E33" t="str">
        <f>IF(D33="","",(VLOOKUP(D33,datos!A:D,4,FALSE)))</f>
        <v/>
      </c>
      <c r="G33" s="4"/>
      <c r="I33" s="2"/>
      <c r="J33" s="2" t="str">
        <f>CONCATENATE((IF(A33="","",(VLOOKUP(Novedades!D33,datos!$A$1:$C$46,3,FALSE)))),E33)</f>
        <v/>
      </c>
    </row>
    <row r="34" spans="5:10" x14ac:dyDescent="0.25">
      <c r="E34" t="str">
        <f>IF(D34="","",(VLOOKUP(D34,datos!A:D,4,FALSE)))</f>
        <v/>
      </c>
      <c r="G34" s="4"/>
      <c r="I34" s="2"/>
      <c r="J34" s="2" t="str">
        <f>CONCATENATE((IF(A34="","",(VLOOKUP(Novedades!D34,datos!$A$1:$C$46,3,FALSE)))),E34)</f>
        <v/>
      </c>
    </row>
    <row r="35" spans="5:10" x14ac:dyDescent="0.25">
      <c r="E35" t="str">
        <f>IF(D35="","",(VLOOKUP(D35,datos!A:D,4,FALSE)))</f>
        <v/>
      </c>
      <c r="G35" s="4"/>
      <c r="I35" s="2"/>
      <c r="J35" s="2" t="str">
        <f>CONCATENATE((IF(A35="","",(VLOOKUP(Novedades!D35,datos!$A$1:$C$46,3,FALSE)))),E35)</f>
        <v/>
      </c>
    </row>
    <row r="36" spans="5:10" x14ac:dyDescent="0.25">
      <c r="E36" t="str">
        <f>IF(D36="","",(VLOOKUP(D36,datos!A:D,4,FALSE)))</f>
        <v/>
      </c>
      <c r="G36" s="4"/>
      <c r="I36" s="2"/>
      <c r="J36" s="2" t="str">
        <f>CONCATENATE((IF(A36="","",(VLOOKUP(Novedades!D36,datos!$A$1:$C$46,3,FALSE)))),E36)</f>
        <v/>
      </c>
    </row>
    <row r="37" spans="5:10" x14ac:dyDescent="0.25">
      <c r="E37" t="str">
        <f>IF(D37="","",(VLOOKUP(D37,datos!A:D,4,FALSE)))</f>
        <v/>
      </c>
      <c r="G37" s="4"/>
      <c r="I37" s="2"/>
      <c r="J37" s="2" t="str">
        <f>CONCATENATE((IF(A37="","",(VLOOKUP(Novedades!D37,datos!$A$1:$C$46,3,FALSE)))),E37)</f>
        <v/>
      </c>
    </row>
    <row r="38" spans="5:10" x14ac:dyDescent="0.25">
      <c r="E38" t="str">
        <f>IF(D38="","",(VLOOKUP(D38,datos!A:D,4,FALSE)))</f>
        <v/>
      </c>
      <c r="G38" s="4"/>
      <c r="I38" s="2"/>
      <c r="J38" s="2" t="str">
        <f>CONCATENATE((IF(A38="","",(VLOOKUP(Novedades!D38,datos!$A$1:$C$46,3,FALSE)))),E38)</f>
        <v/>
      </c>
    </row>
    <row r="39" spans="5:10" x14ac:dyDescent="0.25">
      <c r="E39" t="str">
        <f>IF(D39="","",(VLOOKUP(D39,datos!A:D,4,FALSE)))</f>
        <v/>
      </c>
      <c r="G39" s="4"/>
      <c r="I39" s="2"/>
      <c r="J39" s="2" t="str">
        <f>CONCATENATE((IF(A39="","",(VLOOKUP(Novedades!D39,datos!$A$1:$C$46,3,FALSE)))),E39)</f>
        <v/>
      </c>
    </row>
    <row r="40" spans="5:10" x14ac:dyDescent="0.25">
      <c r="E40" t="str">
        <f>IF(D40="","",(VLOOKUP(D40,datos!A:D,4,FALSE)))</f>
        <v/>
      </c>
      <c r="G40" s="4"/>
      <c r="I40" s="2"/>
      <c r="J40" s="2" t="str">
        <f>CONCATENATE((IF(A40="","",(VLOOKUP(Novedades!D40,datos!$A$1:$C$46,3,FALSE)))),E40)</f>
        <v/>
      </c>
    </row>
    <row r="41" spans="5:10" x14ac:dyDescent="0.25">
      <c r="E41" t="str">
        <f>IF(D41="","",(VLOOKUP(D41,datos!A:D,4,FALSE)))</f>
        <v/>
      </c>
      <c r="G41" s="4"/>
      <c r="I41" s="2"/>
      <c r="J41" s="2" t="str">
        <f>CONCATENATE((IF(A41="","",(VLOOKUP(Novedades!D41,datos!$A$1:$C$46,3,FALSE)))),E41)</f>
        <v/>
      </c>
    </row>
    <row r="42" spans="5:10" x14ac:dyDescent="0.25">
      <c r="E42" t="str">
        <f>IF(D42="","",(VLOOKUP(D42,datos!A:D,4,FALSE)))</f>
        <v/>
      </c>
      <c r="G42" s="4"/>
      <c r="I42" s="2"/>
      <c r="J42" s="2" t="str">
        <f>CONCATENATE((IF(A42="","",(VLOOKUP(Novedades!D42,datos!$A$1:$C$46,3,FALSE)))),E42)</f>
        <v/>
      </c>
    </row>
    <row r="43" spans="5:10" x14ac:dyDescent="0.25">
      <c r="E43" t="str">
        <f>IF(D43="","",(VLOOKUP(D43,datos!A:D,4,FALSE)))</f>
        <v/>
      </c>
      <c r="G43" s="4"/>
      <c r="I43" s="2"/>
      <c r="J43" s="2" t="str">
        <f>CONCATENATE((IF(A43="","",(VLOOKUP(Novedades!D43,datos!$A$1:$C$46,3,FALSE)))),E43)</f>
        <v/>
      </c>
    </row>
    <row r="44" spans="5:10" x14ac:dyDescent="0.25">
      <c r="E44" t="str">
        <f>IF(D44="","",(VLOOKUP(D44,datos!A:D,4,FALSE)))</f>
        <v/>
      </c>
      <c r="G44" s="4"/>
      <c r="I44" s="2"/>
      <c r="J44" s="2" t="str">
        <f>CONCATENATE((IF(A44="","",(VLOOKUP(Novedades!D44,datos!$A$1:$C$46,3,FALSE)))),E44)</f>
        <v/>
      </c>
    </row>
    <row r="45" spans="5:10" x14ac:dyDescent="0.25">
      <c r="E45" t="str">
        <f>IF(D45="","",(VLOOKUP(D45,datos!A:D,4,FALSE)))</f>
        <v/>
      </c>
      <c r="G45" s="4"/>
      <c r="I45" s="2"/>
      <c r="J45" s="2" t="str">
        <f>CONCATENATE((IF(A45="","",(VLOOKUP(Novedades!D45,datos!$A$1:$C$46,3,FALSE)))),E45)</f>
        <v/>
      </c>
    </row>
    <row r="46" spans="5:10" x14ac:dyDescent="0.25">
      <c r="E46" t="str">
        <f>IF(D46="","",(VLOOKUP(D46,datos!A:D,4,FALSE)))</f>
        <v/>
      </c>
      <c r="G46" s="4"/>
      <c r="I46" s="2"/>
      <c r="J46" s="2" t="str">
        <f>CONCATENATE((IF(A46="","",(VLOOKUP(Novedades!D46,datos!$A$1:$C$46,3,FALSE)))),E46)</f>
        <v/>
      </c>
    </row>
    <row r="47" spans="5:10" x14ac:dyDescent="0.25">
      <c r="E47" t="str">
        <f>IF(D47="","",(VLOOKUP(D47,datos!A:D,4,FALSE)))</f>
        <v/>
      </c>
      <c r="G47" s="4"/>
      <c r="I47" s="2"/>
      <c r="J47" s="2" t="str">
        <f>CONCATENATE((IF(A47="","",(VLOOKUP(Novedades!D47,datos!$A$1:$C$46,3,FALSE)))),E47)</f>
        <v/>
      </c>
    </row>
    <row r="48" spans="5:10" x14ac:dyDescent="0.25">
      <c r="E48" t="str">
        <f>IF(D48="","",(VLOOKUP(D48,datos!A:D,4,FALSE)))</f>
        <v/>
      </c>
      <c r="G48" s="4"/>
      <c r="I48" s="2"/>
      <c r="J48" s="2" t="str">
        <f>CONCATENATE((IF(A48="","",(VLOOKUP(Novedades!D48,datos!$A$1:$C$46,3,FALSE)))),E48)</f>
        <v/>
      </c>
    </row>
    <row r="49" spans="5:10" x14ac:dyDescent="0.25">
      <c r="E49" t="str">
        <f>IF(D49="","",(VLOOKUP(D49,datos!A:D,4,FALSE)))</f>
        <v/>
      </c>
      <c r="G49" s="4"/>
      <c r="I49" s="2"/>
      <c r="J49" s="2" t="str">
        <f>CONCATENATE((IF(A49="","",(VLOOKUP(Novedades!D49,datos!$A$1:$C$46,3,FALSE)))),E49)</f>
        <v/>
      </c>
    </row>
    <row r="50" spans="5:10" x14ac:dyDescent="0.25">
      <c r="E50" t="str">
        <f>IF(D50="","",(VLOOKUP(D50,datos!A:D,4,FALSE)))</f>
        <v/>
      </c>
      <c r="G50" s="4"/>
      <c r="I50" s="2"/>
      <c r="J50" s="2" t="str">
        <f>CONCATENATE((IF(A50="","",(VLOOKUP(Novedades!D50,datos!$A$1:$C$46,3,FALSE)))),E50)</f>
        <v/>
      </c>
    </row>
    <row r="51" spans="5:10" x14ac:dyDescent="0.25">
      <c r="E51" t="str">
        <f>IF(D51="","",(VLOOKUP(D51,datos!A:D,4,FALSE)))</f>
        <v/>
      </c>
      <c r="G51" s="4"/>
      <c r="I51" s="2"/>
      <c r="J51" s="2" t="str">
        <f>CONCATENATE((IF(A51="","",(VLOOKUP(Novedades!D51,datos!$A$1:$C$46,3,FALSE)))),E51)</f>
        <v/>
      </c>
    </row>
    <row r="52" spans="5:10" x14ac:dyDescent="0.25">
      <c r="E52" t="str">
        <f>IF(D52="","",(VLOOKUP(D52,datos!A:D,4,FALSE)))</f>
        <v/>
      </c>
      <c r="G52" s="4"/>
      <c r="I52" s="2"/>
      <c r="J52" s="2" t="str">
        <f>CONCATENATE((IF(A52="","",(VLOOKUP(Novedades!D52,datos!$A$1:$C$46,3,FALSE)))),E52)</f>
        <v/>
      </c>
    </row>
    <row r="53" spans="5:10" x14ac:dyDescent="0.25">
      <c r="E53" t="str">
        <f>IF(D53="","",(VLOOKUP(D53,datos!A:D,4,FALSE)))</f>
        <v/>
      </c>
      <c r="G53" s="4"/>
      <c r="I53" s="2"/>
      <c r="J53" s="2" t="str">
        <f>CONCATENATE((IF(A53="","",(VLOOKUP(Novedades!D53,datos!$A$1:$C$46,3,FALSE)))),E53)</f>
        <v/>
      </c>
    </row>
    <row r="54" spans="5:10" x14ac:dyDescent="0.25">
      <c r="E54" t="str">
        <f>IF(D54="","",(VLOOKUP(D54,datos!A:D,4,FALSE)))</f>
        <v/>
      </c>
      <c r="G54" s="4"/>
      <c r="I54" s="2"/>
      <c r="J54" s="2" t="str">
        <f>CONCATENATE((IF(A54="","",(VLOOKUP(Novedades!D54,datos!$A$1:$C$46,3,FALSE)))),E54)</f>
        <v/>
      </c>
    </row>
    <row r="55" spans="5:10" x14ac:dyDescent="0.25">
      <c r="E55" t="str">
        <f>IF(D55="","",(VLOOKUP(D55,datos!A:D,4,FALSE)))</f>
        <v/>
      </c>
      <c r="G55" s="4"/>
      <c r="I55" s="2"/>
      <c r="J55" s="2" t="str">
        <f>CONCATENATE((IF(A55="","",(VLOOKUP(Novedades!D55,datos!$A$1:$C$46,3,FALSE)))),E55)</f>
        <v/>
      </c>
    </row>
    <row r="56" spans="5:10" x14ac:dyDescent="0.25">
      <c r="E56" t="str">
        <f>IF(D56="","",(VLOOKUP(D56,datos!A:D,4,FALSE)))</f>
        <v/>
      </c>
      <c r="G56" s="4"/>
      <c r="I56" s="2"/>
      <c r="J56" s="2" t="str">
        <f>CONCATENATE((IF(A56="","",(VLOOKUP(Novedades!D56,datos!$A$1:$C$46,3,FALSE)))),E56)</f>
        <v/>
      </c>
    </row>
    <row r="57" spans="5:10" x14ac:dyDescent="0.25">
      <c r="E57" t="str">
        <f>IF(D57="","",(VLOOKUP(D57,datos!A:D,4,FALSE)))</f>
        <v/>
      </c>
      <c r="G57" s="4"/>
      <c r="I57" s="2"/>
      <c r="J57" s="2" t="str">
        <f>CONCATENATE((IF(A57="","",(VLOOKUP(Novedades!D57,datos!$A$1:$C$46,3,FALSE)))),E57)</f>
        <v/>
      </c>
    </row>
    <row r="58" spans="5:10" x14ac:dyDescent="0.25">
      <c r="E58" t="str">
        <f>IF(D58="","",(VLOOKUP(D58,datos!A:D,4,FALSE)))</f>
        <v/>
      </c>
      <c r="G58" s="4"/>
      <c r="I58" s="2"/>
      <c r="J58" s="2" t="str">
        <f>CONCATENATE((IF(A58="","",(VLOOKUP(Novedades!D58,datos!$A$1:$C$46,3,FALSE)))),E58)</f>
        <v/>
      </c>
    </row>
    <row r="59" spans="5:10" x14ac:dyDescent="0.25">
      <c r="E59" t="str">
        <f>IF(D59="","",(VLOOKUP(D59,datos!A:D,4,FALSE)))</f>
        <v/>
      </c>
      <c r="G59" s="4"/>
      <c r="I59" s="2"/>
      <c r="J59" s="2" t="str">
        <f>CONCATENATE((IF(A59="","",(VLOOKUP(Novedades!D59,datos!$A$1:$C$46,3,FALSE)))),E59)</f>
        <v/>
      </c>
    </row>
    <row r="60" spans="5:10" x14ac:dyDescent="0.25">
      <c r="E60" t="str">
        <f>IF(D60="","",(VLOOKUP(D60,datos!A:D,4,FALSE)))</f>
        <v/>
      </c>
      <c r="G60" s="4"/>
      <c r="I60" s="2"/>
      <c r="J60" s="2" t="str">
        <f>CONCATENATE((IF(A60="","",(VLOOKUP(Novedades!D60,datos!$A$1:$C$46,3,FALSE)))),E60)</f>
        <v/>
      </c>
    </row>
    <row r="61" spans="5:10" x14ac:dyDescent="0.25">
      <c r="E61" t="str">
        <f>IF(D61="","",(VLOOKUP(D61,datos!A:D,4,FALSE)))</f>
        <v/>
      </c>
      <c r="G61" s="4"/>
      <c r="I61" s="2"/>
      <c r="J61" s="2" t="str">
        <f>CONCATENATE((IF(A61="","",(VLOOKUP(Novedades!D61,datos!$A$1:$C$46,3,FALSE)))),E61)</f>
        <v/>
      </c>
    </row>
    <row r="62" spans="5:10" x14ac:dyDescent="0.25">
      <c r="E62" t="str">
        <f>IF(D62="","",(VLOOKUP(D62,datos!A:D,4,FALSE)))</f>
        <v/>
      </c>
      <c r="G62" s="4"/>
      <c r="I62" s="2"/>
      <c r="J62" s="2" t="str">
        <f>CONCATENATE((IF(A62="","",(VLOOKUP(Novedades!D62,datos!$A$1:$C$46,3,FALSE)))),E62)</f>
        <v/>
      </c>
    </row>
    <row r="63" spans="5:10" x14ac:dyDescent="0.25">
      <c r="E63" t="str">
        <f>IF(D63="","",(VLOOKUP(D63,datos!A:D,4,FALSE)))</f>
        <v/>
      </c>
      <c r="G63" s="4"/>
      <c r="I63" s="2"/>
      <c r="J63" s="2" t="str">
        <f>CONCATENATE((IF(A63="","",(VLOOKUP(Novedades!D63,datos!$A$1:$C$46,3,FALSE)))),E63)</f>
        <v/>
      </c>
    </row>
    <row r="64" spans="5:10" x14ac:dyDescent="0.25">
      <c r="E64" t="str">
        <f>IF(D64="","",(VLOOKUP(D64,datos!A:D,4,FALSE)))</f>
        <v/>
      </c>
      <c r="G64" s="4"/>
      <c r="I64" s="2"/>
      <c r="J64" s="2" t="str">
        <f>CONCATENATE((IF(A64="","",(VLOOKUP(Novedades!D64,datos!$A$1:$C$46,3,FALSE)))),E64)</f>
        <v/>
      </c>
    </row>
    <row r="65" spans="5:10" x14ac:dyDescent="0.25">
      <c r="E65" t="str">
        <f>IF(D65="","",(VLOOKUP(D65,datos!A:D,4,FALSE)))</f>
        <v/>
      </c>
      <c r="G65" s="4"/>
      <c r="I65" s="2"/>
      <c r="J65" s="2" t="str">
        <f>CONCATENATE((IF(A65="","",(VLOOKUP(Novedades!D65,datos!$A$1:$C$46,3,FALSE)))),E65)</f>
        <v/>
      </c>
    </row>
    <row r="66" spans="5:10" x14ac:dyDescent="0.25">
      <c r="E66" t="str">
        <f>IF(D66="","",(VLOOKUP(D66,datos!A:D,4,FALSE)))</f>
        <v/>
      </c>
      <c r="G66" s="4"/>
      <c r="I66" s="2"/>
      <c r="J66" s="2" t="str">
        <f>CONCATENATE((IF(A66="","",(VLOOKUP(Novedades!D66,datos!$A$1:$C$46,3,FALSE)))),E66)</f>
        <v/>
      </c>
    </row>
    <row r="67" spans="5:10" x14ac:dyDescent="0.25">
      <c r="E67" t="str">
        <f>IF(D67="","",(VLOOKUP(D67,datos!A:D,4,FALSE)))</f>
        <v/>
      </c>
      <c r="G67" s="4"/>
      <c r="I67" s="2"/>
      <c r="J67" s="2" t="str">
        <f>CONCATENATE((IF(A67="","",(VLOOKUP(Novedades!D67,datos!$A$1:$C$46,3,FALSE)))),E67)</f>
        <v/>
      </c>
    </row>
    <row r="68" spans="5:10" x14ac:dyDescent="0.25">
      <c r="E68" t="str">
        <f>IF(D68="","",(VLOOKUP(D68,datos!A:D,4,FALSE)))</f>
        <v/>
      </c>
      <c r="G68" s="4"/>
      <c r="I68" s="2"/>
      <c r="J68" s="2" t="str">
        <f>CONCATENATE((IF(A68="","",(VLOOKUP(Novedades!D68,datos!$A$1:$C$46,3,FALSE)))),E68)</f>
        <v/>
      </c>
    </row>
    <row r="69" spans="5:10" x14ac:dyDescent="0.25">
      <c r="E69" t="str">
        <f>IF(D69="","",(VLOOKUP(D69,datos!A:D,4,FALSE)))</f>
        <v/>
      </c>
      <c r="G69" s="4"/>
      <c r="I69" s="2"/>
      <c r="J69" s="2" t="str">
        <f>CONCATENATE((IF(A69="","",(VLOOKUP(Novedades!D69,datos!$A$1:$C$46,3,FALSE)))),E69)</f>
        <v/>
      </c>
    </row>
    <row r="70" spans="5:10" x14ac:dyDescent="0.25">
      <c r="E70" t="str">
        <f>IF(D70="","",(VLOOKUP(D70,datos!A:D,4,FALSE)))</f>
        <v/>
      </c>
      <c r="G70" s="4"/>
      <c r="I70" s="2"/>
      <c r="J70" s="2" t="str">
        <f>CONCATENATE((IF(A70="","",(VLOOKUP(Novedades!D70,datos!$A$1:$C$46,3,FALSE)))),E70)</f>
        <v/>
      </c>
    </row>
    <row r="71" spans="5:10" x14ac:dyDescent="0.25">
      <c r="E71" t="str">
        <f>IF(D71="","",(VLOOKUP(D71,datos!A:D,4,FALSE)))</f>
        <v/>
      </c>
      <c r="G71" s="4"/>
      <c r="I71" s="2"/>
      <c r="J71" s="2" t="str">
        <f>CONCATENATE((IF(A71="","",(VLOOKUP(Novedades!D71,datos!$A$1:$C$46,3,FALSE)))),E71)</f>
        <v/>
      </c>
    </row>
    <row r="72" spans="5:10" x14ac:dyDescent="0.25">
      <c r="E72" t="str">
        <f>IF(D72="","",(VLOOKUP(D72,datos!A:D,4,FALSE)))</f>
        <v/>
      </c>
      <c r="G72" s="4"/>
      <c r="I72" s="2"/>
      <c r="J72" s="2" t="str">
        <f>CONCATENATE((IF(A72="","",(VLOOKUP(Novedades!D72,datos!$A$1:$C$46,3,FALSE)))),E72)</f>
        <v/>
      </c>
    </row>
    <row r="73" spans="5:10" x14ac:dyDescent="0.25">
      <c r="E73" t="str">
        <f>IF(D73="","",(VLOOKUP(D73,datos!A:D,4,FALSE)))</f>
        <v/>
      </c>
      <c r="G73" s="4"/>
      <c r="I73" s="2"/>
      <c r="J73" s="2" t="str">
        <f>CONCATENATE((IF(A73="","",(VLOOKUP(Novedades!D73,datos!$A$1:$C$46,3,FALSE)))),E73)</f>
        <v/>
      </c>
    </row>
    <row r="74" spans="5:10" x14ac:dyDescent="0.25">
      <c r="E74" t="str">
        <f>IF(D74="","",(VLOOKUP(D74,datos!A:D,4,FALSE)))</f>
        <v/>
      </c>
      <c r="G74" s="4"/>
      <c r="I74" s="2"/>
      <c r="J74" s="2" t="str">
        <f>CONCATENATE((IF(A74="","",(VLOOKUP(Novedades!D74,datos!$A$1:$C$46,3,FALSE)))),E74)</f>
        <v/>
      </c>
    </row>
    <row r="75" spans="5:10" x14ac:dyDescent="0.25">
      <c r="E75" t="str">
        <f>IF(D75="","",(VLOOKUP(D75,datos!A:D,4,FALSE)))</f>
        <v/>
      </c>
      <c r="G75" s="4"/>
      <c r="I75" s="2"/>
      <c r="J75" s="2" t="str">
        <f>CONCATENATE((IF(A75="","",(VLOOKUP(Novedades!D75,datos!$A$1:$C$46,3,FALSE)))),E75)</f>
        <v/>
      </c>
    </row>
    <row r="76" spans="5:10" x14ac:dyDescent="0.25">
      <c r="E76" t="str">
        <f>IF(D76="","",(VLOOKUP(D76,datos!A:D,4,FALSE)))</f>
        <v/>
      </c>
      <c r="G76" s="4"/>
      <c r="I76" s="2"/>
      <c r="J76" s="2" t="str">
        <f>CONCATENATE((IF(A76="","",(VLOOKUP(Novedades!D76,datos!$A$1:$C$46,3,FALSE)))),E76)</f>
        <v/>
      </c>
    </row>
    <row r="77" spans="5:10" x14ac:dyDescent="0.25">
      <c r="E77" t="str">
        <f>IF(D77="","",(VLOOKUP(D77,datos!A:D,4,FALSE)))</f>
        <v/>
      </c>
      <c r="G77" s="4"/>
      <c r="I77" s="2"/>
      <c r="J77" s="2" t="str">
        <f>CONCATENATE((IF(A77="","",(VLOOKUP(Novedades!D77,datos!$A$1:$C$46,3,FALSE)))),E77)</f>
        <v/>
      </c>
    </row>
    <row r="78" spans="5:10" x14ac:dyDescent="0.25">
      <c r="E78" t="str">
        <f>IF(D78="","",(VLOOKUP(D78,datos!A:D,4,FALSE)))</f>
        <v/>
      </c>
      <c r="G78" s="4"/>
      <c r="I78" s="2"/>
      <c r="J78" s="2" t="str">
        <f>CONCATENATE((IF(A78="","",(VLOOKUP(Novedades!D78,datos!$A$1:$C$46,3,FALSE)))),E78)</f>
        <v/>
      </c>
    </row>
    <row r="79" spans="5:10" x14ac:dyDescent="0.25">
      <c r="E79" t="str">
        <f>IF(D79="","",(VLOOKUP(D79,datos!A:D,4,FALSE)))</f>
        <v/>
      </c>
      <c r="G79" s="4"/>
      <c r="I79" s="2"/>
      <c r="J79" s="2" t="str">
        <f>CONCATENATE((IF(A79="","",(VLOOKUP(Novedades!D79,datos!$A$1:$C$46,3,FALSE)))),E79)</f>
        <v/>
      </c>
    </row>
    <row r="80" spans="5:10" x14ac:dyDescent="0.25">
      <c r="E80" t="str">
        <f>IF(D80="","",(VLOOKUP(D80,datos!A:D,4,FALSE)))</f>
        <v/>
      </c>
      <c r="G80" s="4"/>
      <c r="I80" s="2"/>
      <c r="J80" s="2" t="str">
        <f>CONCATENATE((IF(A80="","",(VLOOKUP(Novedades!D80,datos!$A$1:$C$46,3,FALSE)))),E80)</f>
        <v/>
      </c>
    </row>
    <row r="81" spans="5:10" x14ac:dyDescent="0.25">
      <c r="E81" t="str">
        <f>IF(D81="","",(VLOOKUP(D81,datos!A:D,4,FALSE)))</f>
        <v/>
      </c>
      <c r="G81" s="4"/>
      <c r="I81" s="2"/>
      <c r="J81" s="2" t="str">
        <f>CONCATENATE((IF(A81="","",(VLOOKUP(Novedades!D81,datos!$A$1:$C$46,3,FALSE)))),E81)</f>
        <v/>
      </c>
    </row>
    <row r="82" spans="5:10" x14ac:dyDescent="0.25">
      <c r="E82" t="str">
        <f>IF(D82="","",(VLOOKUP(D82,datos!A:D,4,FALSE)))</f>
        <v/>
      </c>
      <c r="G82" s="4"/>
      <c r="I82" s="2"/>
      <c r="J82" s="2" t="str">
        <f>CONCATENATE((IF(A82="","",(VLOOKUP(Novedades!D82,datos!$A$1:$C$46,3,FALSE)))),E82)</f>
        <v/>
      </c>
    </row>
    <row r="83" spans="5:10" x14ac:dyDescent="0.25">
      <c r="E83" t="str">
        <f>IF(D83="","",(VLOOKUP(D83,datos!A:D,4,FALSE)))</f>
        <v/>
      </c>
      <c r="G83" s="4"/>
      <c r="I83" s="2"/>
      <c r="J83" s="2" t="str">
        <f>CONCATENATE((IF(A83="","",(VLOOKUP(Novedades!D83,datos!$A$1:$C$46,3,FALSE)))),E83)</f>
        <v/>
      </c>
    </row>
    <row r="84" spans="5:10" x14ac:dyDescent="0.25">
      <c r="E84" t="str">
        <f>IF(D84="","",(VLOOKUP(D84,datos!A:D,4,FALSE)))</f>
        <v/>
      </c>
      <c r="G84" s="4"/>
      <c r="I84" s="2"/>
      <c r="J84" s="2" t="str">
        <f>CONCATENATE((IF(A84="","",(VLOOKUP(Novedades!D84,datos!$A$1:$C$46,3,FALSE)))),E84)</f>
        <v/>
      </c>
    </row>
    <row r="85" spans="5:10" x14ac:dyDescent="0.25">
      <c r="E85" t="str">
        <f>IF(D85="","",(VLOOKUP(D85,datos!A:D,4,FALSE)))</f>
        <v/>
      </c>
      <c r="G85" s="4"/>
      <c r="I85" s="2"/>
      <c r="J85" s="2" t="str">
        <f>CONCATENATE((IF(A85="","",(VLOOKUP(Novedades!D85,datos!$A$1:$C$46,3,FALSE)))),E85)</f>
        <v/>
      </c>
    </row>
    <row r="86" spans="5:10" x14ac:dyDescent="0.25">
      <c r="E86" t="str">
        <f>IF(D86="","",(VLOOKUP(D86,datos!A:D,4,FALSE)))</f>
        <v/>
      </c>
      <c r="G86" s="4"/>
      <c r="I86" s="2"/>
      <c r="J86" s="2" t="str">
        <f>CONCATENATE((IF(A86="","",(VLOOKUP(Novedades!D86,datos!$A$1:$C$46,3,FALSE)))),E86)</f>
        <v/>
      </c>
    </row>
    <row r="87" spans="5:10" x14ac:dyDescent="0.25">
      <c r="E87" t="str">
        <f>IF(D87="","",(VLOOKUP(D87,datos!A:D,4,FALSE)))</f>
        <v/>
      </c>
      <c r="G87" s="4"/>
      <c r="I87" s="2"/>
      <c r="J87" s="2" t="str">
        <f>CONCATENATE((IF(A87="","",(VLOOKUP(Novedades!D87,datos!$A$1:$C$46,3,FALSE)))),E87)</f>
        <v/>
      </c>
    </row>
    <row r="88" spans="5:10" x14ac:dyDescent="0.25">
      <c r="E88" t="str">
        <f>IF(D88="","",(VLOOKUP(D88,datos!A:D,4,FALSE)))</f>
        <v/>
      </c>
      <c r="G88" s="4"/>
      <c r="I88" s="2"/>
      <c r="J88" s="2" t="str">
        <f>CONCATENATE((IF(A88="","",(VLOOKUP(Novedades!D88,datos!$A$1:$C$46,3,FALSE)))),E88)</f>
        <v/>
      </c>
    </row>
    <row r="89" spans="5:10" x14ac:dyDescent="0.25">
      <c r="E89" t="str">
        <f>IF(D89="","",(VLOOKUP(D89,datos!A:D,4,FALSE)))</f>
        <v/>
      </c>
      <c r="G89" s="4"/>
      <c r="I89" s="2"/>
      <c r="J89" s="2" t="str">
        <f>CONCATENATE((IF(A89="","",(VLOOKUP(Novedades!D89,datos!$A$1:$C$46,3,FALSE)))),E89)</f>
        <v/>
      </c>
    </row>
    <row r="90" spans="5:10" x14ac:dyDescent="0.25">
      <c r="E90" t="str">
        <f>IF(D90="","",(VLOOKUP(D90,datos!A:D,4,FALSE)))</f>
        <v/>
      </c>
      <c r="G90" s="4"/>
      <c r="I90" s="2"/>
      <c r="J90" s="2" t="str">
        <f>CONCATENATE((IF(A90="","",(VLOOKUP(Novedades!D90,datos!$A$1:$C$46,3,FALSE)))),E90)</f>
        <v/>
      </c>
    </row>
    <row r="91" spans="5:10" x14ac:dyDescent="0.25">
      <c r="E91" t="str">
        <f>IF(D91="","",(VLOOKUP(D91,datos!A:D,4,FALSE)))</f>
        <v/>
      </c>
      <c r="G91" s="4"/>
      <c r="I91" s="2"/>
      <c r="J91" s="2" t="str">
        <f>CONCATENATE((IF(A91="","",(VLOOKUP(Novedades!D91,datos!$A$1:$C$46,3,FALSE)))),E91)</f>
        <v/>
      </c>
    </row>
    <row r="92" spans="5:10" x14ac:dyDescent="0.25">
      <c r="E92" t="str">
        <f>IF(D92="","",(VLOOKUP(D92,datos!A:D,4,FALSE)))</f>
        <v/>
      </c>
      <c r="G92" s="4"/>
      <c r="I92" s="2"/>
      <c r="J92" s="2" t="str">
        <f>CONCATENATE((IF(A92="","",(VLOOKUP(Novedades!D92,datos!$A$1:$C$46,3,FALSE)))),E92)</f>
        <v/>
      </c>
    </row>
    <row r="93" spans="5:10" x14ac:dyDescent="0.25">
      <c r="E93" t="str">
        <f>IF(D93="","",(VLOOKUP(D93,datos!A:D,4,FALSE)))</f>
        <v/>
      </c>
      <c r="G93" s="4"/>
      <c r="I93" s="2"/>
      <c r="J93" s="2" t="str">
        <f>CONCATENATE((IF(A93="","",(VLOOKUP(Novedades!D93,datos!$A$1:$C$46,3,FALSE)))),E93)</f>
        <v/>
      </c>
    </row>
    <row r="94" spans="5:10" x14ac:dyDescent="0.25">
      <c r="E94" t="str">
        <f>IF(D94="","",(VLOOKUP(D94,datos!A:D,4,FALSE)))</f>
        <v/>
      </c>
      <c r="G94" s="4"/>
      <c r="I94" s="2"/>
      <c r="J94" s="2" t="str">
        <f>CONCATENATE((IF(A94="","",(VLOOKUP(Novedades!D94,datos!$A$1:$C$46,3,FALSE)))),E94)</f>
        <v/>
      </c>
    </row>
    <row r="95" spans="5:10" x14ac:dyDescent="0.25">
      <c r="E95" t="str">
        <f>IF(D95="","",(VLOOKUP(D95,datos!A:D,4,FALSE)))</f>
        <v/>
      </c>
      <c r="G95" s="4"/>
      <c r="I95" s="2"/>
      <c r="J95" s="2" t="str">
        <f>CONCATENATE((IF(A95="","",(VLOOKUP(Novedades!D95,datos!$A$1:$C$46,3,FALSE)))),E95)</f>
        <v/>
      </c>
    </row>
    <row r="96" spans="5:10" x14ac:dyDescent="0.25">
      <c r="E96" t="str">
        <f>IF(D96="","",(VLOOKUP(D96,datos!A:D,4,FALSE)))</f>
        <v/>
      </c>
      <c r="G96" s="4"/>
      <c r="I96" s="2"/>
      <c r="J96" s="2" t="str">
        <f>CONCATENATE((IF(A96="","",(VLOOKUP(Novedades!D96,datos!$A$1:$C$46,3,FALSE)))),E96)</f>
        <v/>
      </c>
    </row>
    <row r="97" spans="5:10" x14ac:dyDescent="0.25">
      <c r="E97" t="str">
        <f>IF(D97="","",(VLOOKUP(D97,datos!A:D,4,FALSE)))</f>
        <v/>
      </c>
      <c r="G97" s="4"/>
      <c r="I97" s="2"/>
      <c r="J97" s="2" t="str">
        <f>CONCATENATE((IF(A97="","",(VLOOKUP(Novedades!D97,datos!$A$1:$C$46,3,FALSE)))),E97)</f>
        <v/>
      </c>
    </row>
    <row r="98" spans="5:10" x14ac:dyDescent="0.25">
      <c r="E98" t="str">
        <f>IF(D98="","",(VLOOKUP(D98,datos!A:D,4,FALSE)))</f>
        <v/>
      </c>
      <c r="G98" s="4"/>
      <c r="I98" s="2"/>
      <c r="J98" s="2" t="str">
        <f>CONCATENATE((IF(A98="","",(VLOOKUP(Novedades!D98,datos!$A$1:$C$46,3,FALSE)))),E98)</f>
        <v/>
      </c>
    </row>
    <row r="99" spans="5:10" x14ac:dyDescent="0.25">
      <c r="E99" t="str">
        <f>IF(D99="","",(VLOOKUP(D99,datos!A:D,4,FALSE)))</f>
        <v/>
      </c>
      <c r="G99" s="4"/>
      <c r="I99" s="2"/>
      <c r="J99" s="2" t="str">
        <f>CONCATENATE((IF(A99="","",(VLOOKUP(Novedades!D99,datos!$A$1:$C$46,3,FALSE)))),E99)</f>
        <v/>
      </c>
    </row>
    <row r="100" spans="5:10" x14ac:dyDescent="0.25">
      <c r="E100" t="str">
        <f>IF(D100="","",(VLOOKUP(D100,datos!A:D,4,FALSE)))</f>
        <v/>
      </c>
      <c r="G100" s="4"/>
      <c r="I100" s="2"/>
      <c r="J100" s="2" t="str">
        <f>CONCATENATE((IF(A100="","",(VLOOKUP(Novedades!D100,datos!$A$1:$C$46,3,FALSE)))),E100)</f>
        <v/>
      </c>
    </row>
    <row r="101" spans="5:10" x14ac:dyDescent="0.25">
      <c r="E101" t="str">
        <f>IF(D101="","",(VLOOKUP(D101,datos!A:D,4,FALSE)))</f>
        <v/>
      </c>
      <c r="G101" s="4"/>
      <c r="I101" s="2"/>
      <c r="J101" s="2" t="str">
        <f>CONCATENATE((IF(A101="","",(VLOOKUP(Novedades!D101,datos!$A$1:$C$46,3,FALSE)))),E101)</f>
        <v/>
      </c>
    </row>
    <row r="102" spans="5:10" x14ac:dyDescent="0.25">
      <c r="E102" t="str">
        <f>IF(D102="","",(VLOOKUP(D102,datos!A:D,4,FALSE)))</f>
        <v/>
      </c>
      <c r="G102" s="4"/>
      <c r="I102" s="2"/>
      <c r="J102" s="2" t="str">
        <f>CONCATENATE((IF(A102="","",(VLOOKUP(Novedades!D102,datos!$A$1:$C$46,3,FALSE)))),E102)</f>
        <v/>
      </c>
    </row>
    <row r="103" spans="5:10" x14ac:dyDescent="0.25">
      <c r="E103" t="str">
        <f>IF(D103="","",(VLOOKUP(D103,datos!A:D,4,FALSE)))</f>
        <v/>
      </c>
      <c r="G103" s="4"/>
      <c r="I103" s="2"/>
      <c r="J103" s="2" t="str">
        <f>CONCATENATE((IF(A103="","",(VLOOKUP(Novedades!D103,datos!$A$1:$C$46,3,FALSE)))),E103)</f>
        <v/>
      </c>
    </row>
    <row r="104" spans="5:10" x14ac:dyDescent="0.25">
      <c r="E104" t="str">
        <f>IF(D104="","",(VLOOKUP(D104,datos!A:D,4,FALSE)))</f>
        <v/>
      </c>
      <c r="G104" s="4"/>
      <c r="I104" s="2"/>
      <c r="J104" s="2" t="str">
        <f>CONCATENATE((IF(A104="","",(VLOOKUP(Novedades!D104,datos!$A$1:$C$46,3,FALSE)))),E104)</f>
        <v/>
      </c>
    </row>
    <row r="105" spans="5:10" x14ac:dyDescent="0.25">
      <c r="E105" t="str">
        <f>IF(D105="","",(VLOOKUP(D105,datos!A:D,4,FALSE)))</f>
        <v/>
      </c>
      <c r="G105" s="4"/>
      <c r="I105" s="2"/>
      <c r="J105" s="2" t="str">
        <f>CONCATENATE((IF(A105="","",(VLOOKUP(Novedades!D105,datos!$A$1:$C$46,3,FALSE)))),E105)</f>
        <v/>
      </c>
    </row>
    <row r="106" spans="5:10" x14ac:dyDescent="0.25">
      <c r="E106" t="str">
        <f>IF(D106="","",(VLOOKUP(D106,datos!A:D,4,FALSE)))</f>
        <v/>
      </c>
      <c r="G106" s="4"/>
      <c r="I106" s="2"/>
      <c r="J106" s="2" t="str">
        <f>CONCATENATE((IF(A106="","",(VLOOKUP(Novedades!D106,datos!$A$1:$C$46,3,FALSE)))),E106)</f>
        <v/>
      </c>
    </row>
    <row r="107" spans="5:10" x14ac:dyDescent="0.25">
      <c r="E107" t="str">
        <f>IF(D107="","",(VLOOKUP(D107,datos!A:D,4,FALSE)))</f>
        <v/>
      </c>
      <c r="G107" s="4"/>
      <c r="I107" s="2"/>
      <c r="J107" s="2" t="str">
        <f>CONCATENATE((IF(A107="","",(VLOOKUP(Novedades!D107,datos!$A$1:$C$46,3,FALSE)))),E107)</f>
        <v/>
      </c>
    </row>
    <row r="108" spans="5:10" x14ac:dyDescent="0.25">
      <c r="E108" t="str">
        <f>IF(D108="","",(VLOOKUP(D108,datos!A:D,4,FALSE)))</f>
        <v/>
      </c>
      <c r="G108" s="4"/>
      <c r="I108" s="2"/>
      <c r="J108" s="2" t="str">
        <f>CONCATENATE((IF(A108="","",(VLOOKUP(Novedades!D108,datos!$A$1:$C$46,3,FALSE)))),E108)</f>
        <v/>
      </c>
    </row>
    <row r="109" spans="5:10" x14ac:dyDescent="0.25">
      <c r="E109" t="str">
        <f>IF(D109="","",(VLOOKUP(D109,datos!A:D,4,FALSE)))</f>
        <v/>
      </c>
      <c r="G109" s="4"/>
      <c r="I109" s="2"/>
      <c r="J109" s="2" t="str">
        <f>CONCATENATE((IF(A109="","",(VLOOKUP(Novedades!D109,datos!$A$1:$C$46,3,FALSE)))),E109)</f>
        <v/>
      </c>
    </row>
    <row r="110" spans="5:10" x14ac:dyDescent="0.25">
      <c r="E110" t="str">
        <f>IF(D110="","",(VLOOKUP(D110,datos!A:D,4,FALSE)))</f>
        <v/>
      </c>
      <c r="G110" s="4"/>
      <c r="I110" s="2"/>
      <c r="J110" s="2" t="str">
        <f>CONCATENATE((IF(A110="","",(VLOOKUP(Novedades!D110,datos!$A$1:$C$46,3,FALSE)))),E110)</f>
        <v/>
      </c>
    </row>
    <row r="111" spans="5:10" x14ac:dyDescent="0.25">
      <c r="E111" t="str">
        <f>IF(D111="","",(VLOOKUP(D111,datos!A:D,4,FALSE)))</f>
        <v/>
      </c>
      <c r="G111" s="4"/>
      <c r="I111" s="2"/>
      <c r="J111" s="2" t="str">
        <f>CONCATENATE((IF(A111="","",(VLOOKUP(Novedades!D111,datos!$A$1:$C$46,3,FALSE)))),E111)</f>
        <v/>
      </c>
    </row>
    <row r="112" spans="5:10" x14ac:dyDescent="0.25">
      <c r="E112" t="str">
        <f>IF(D112="","",(VLOOKUP(D112,datos!A:D,4,FALSE)))</f>
        <v/>
      </c>
      <c r="G112" s="4"/>
      <c r="I112" s="2"/>
      <c r="J112" s="2" t="str">
        <f>CONCATENATE((IF(A112="","",(VLOOKUP(Novedades!D112,datos!$A$1:$C$46,3,FALSE)))),E112)</f>
        <v/>
      </c>
    </row>
    <row r="113" spans="5:10" x14ac:dyDescent="0.25">
      <c r="E113" t="str">
        <f>IF(D113="","",(VLOOKUP(D113,datos!A:D,4,FALSE)))</f>
        <v/>
      </c>
      <c r="G113" s="4"/>
      <c r="I113" s="2"/>
      <c r="J113" s="2" t="str">
        <f>CONCATENATE((IF(A113="","",(VLOOKUP(Novedades!D113,datos!$A$1:$C$46,3,FALSE)))),E113)</f>
        <v/>
      </c>
    </row>
    <row r="114" spans="5:10" x14ac:dyDescent="0.25">
      <c r="E114" t="str">
        <f>IF(D114="","",(VLOOKUP(D114,datos!A:D,4,FALSE)))</f>
        <v/>
      </c>
      <c r="G114" s="4"/>
      <c r="I114" s="2"/>
      <c r="J114" s="2" t="str">
        <f>CONCATENATE((IF(A114="","",(VLOOKUP(Novedades!D114,datos!$A$1:$C$46,3,FALSE)))),E114)</f>
        <v/>
      </c>
    </row>
    <row r="115" spans="5:10" x14ac:dyDescent="0.25">
      <c r="E115" t="str">
        <f>IF(D115="","",(VLOOKUP(D115,datos!A:D,4,FALSE)))</f>
        <v/>
      </c>
      <c r="G115" s="4"/>
      <c r="I115" s="2"/>
      <c r="J115" s="2" t="str">
        <f>CONCATENATE((IF(A115="","",(VLOOKUP(Novedades!D115,datos!$A$1:$C$46,3,FALSE)))),E115)</f>
        <v/>
      </c>
    </row>
    <row r="116" spans="5:10" x14ac:dyDescent="0.25">
      <c r="E116" t="str">
        <f>IF(D116="","",(VLOOKUP(D116,datos!A:D,4,FALSE)))</f>
        <v/>
      </c>
      <c r="G116" s="4"/>
      <c r="I116" s="2"/>
      <c r="J116" s="2" t="str">
        <f>CONCATENATE((IF(A116="","",(VLOOKUP(Novedades!D116,datos!$A$1:$C$46,3,FALSE)))),E116)</f>
        <v/>
      </c>
    </row>
    <row r="117" spans="5:10" x14ac:dyDescent="0.25">
      <c r="E117" t="str">
        <f>IF(D117="","",(VLOOKUP(D117,datos!A:D,4,FALSE)))</f>
        <v/>
      </c>
      <c r="G117" s="4"/>
      <c r="I117" s="2"/>
      <c r="J117" s="2" t="str">
        <f>CONCATENATE((IF(A117="","",(VLOOKUP(Novedades!D117,datos!$A$1:$C$46,3,FALSE)))),E117)</f>
        <v/>
      </c>
    </row>
    <row r="118" spans="5:10" x14ac:dyDescent="0.25">
      <c r="E118" t="str">
        <f>IF(D118="","",(VLOOKUP(D118,datos!A:D,4,FALSE)))</f>
        <v/>
      </c>
      <c r="G118" s="4"/>
      <c r="I118" s="2"/>
      <c r="J118" s="2" t="str">
        <f>CONCATENATE((IF(A118="","",(VLOOKUP(Novedades!D118,datos!$A$1:$C$46,3,FALSE)))),E118)</f>
        <v/>
      </c>
    </row>
    <row r="119" spans="5:10" x14ac:dyDescent="0.25">
      <c r="E119" t="str">
        <f>IF(D119="","",(VLOOKUP(D119,datos!A:D,4,FALSE)))</f>
        <v/>
      </c>
      <c r="G119" s="4"/>
      <c r="I119" s="2"/>
      <c r="J119" s="2" t="str">
        <f>CONCATENATE((IF(A119="","",(VLOOKUP(Novedades!D119,datos!$A$1:$C$46,3,FALSE)))),E119)</f>
        <v/>
      </c>
    </row>
    <row r="120" spans="5:10" x14ac:dyDescent="0.25">
      <c r="E120" t="str">
        <f>IF(D120="","",(VLOOKUP(D120,datos!A:D,4,FALSE)))</f>
        <v/>
      </c>
      <c r="G120" s="4"/>
      <c r="I120" s="2"/>
      <c r="J120" s="2" t="str">
        <f>CONCATENATE((IF(A120="","",(VLOOKUP(Novedades!D120,datos!$A$1:$C$46,3,FALSE)))),E120)</f>
        <v/>
      </c>
    </row>
    <row r="121" spans="5:10" x14ac:dyDescent="0.25">
      <c r="E121" t="str">
        <f>IF(D121="","",(VLOOKUP(D121,datos!A:D,4,FALSE)))</f>
        <v/>
      </c>
      <c r="G121" s="4"/>
      <c r="I121" s="2"/>
      <c r="J121" s="2" t="str">
        <f>CONCATENATE((IF(A121="","",(VLOOKUP(Novedades!D121,datos!$A$1:$C$46,3,FALSE)))),E121)</f>
        <v/>
      </c>
    </row>
    <row r="122" spans="5:10" x14ac:dyDescent="0.25">
      <c r="E122" t="str">
        <f>IF(D122="","",(VLOOKUP(D122,datos!A:D,4,FALSE)))</f>
        <v/>
      </c>
      <c r="G122" s="4"/>
      <c r="I122" s="2"/>
      <c r="J122" s="2" t="str">
        <f>CONCATENATE((IF(A122="","",(VLOOKUP(Novedades!D122,datos!$A$1:$C$46,3,FALSE)))),E122)</f>
        <v/>
      </c>
    </row>
    <row r="123" spans="5:10" x14ac:dyDescent="0.25">
      <c r="E123" t="str">
        <f>IF(D123="","",(VLOOKUP(D123,datos!A:D,4,FALSE)))</f>
        <v/>
      </c>
      <c r="G123" s="4"/>
      <c r="I123" s="2"/>
      <c r="J123" s="2" t="str">
        <f>CONCATENATE((IF(A123="","",(VLOOKUP(Novedades!D123,datos!$A$1:$C$46,3,FALSE)))),E123)</f>
        <v/>
      </c>
    </row>
    <row r="124" spans="5:10" x14ac:dyDescent="0.25">
      <c r="E124" t="str">
        <f>IF(D124="","",(VLOOKUP(D124,datos!A:D,4,FALSE)))</f>
        <v/>
      </c>
      <c r="G124" s="4"/>
      <c r="I124" s="2"/>
      <c r="J124" s="2" t="str">
        <f>CONCATENATE((IF(A124="","",(VLOOKUP(Novedades!D124,datos!$A$1:$C$46,3,FALSE)))),E124)</f>
        <v/>
      </c>
    </row>
    <row r="125" spans="5:10" x14ac:dyDescent="0.25">
      <c r="E125" t="str">
        <f>IF(D125="","",(VLOOKUP(D125,datos!A:D,4,FALSE)))</f>
        <v/>
      </c>
      <c r="G125" s="4"/>
      <c r="I125" s="2"/>
      <c r="J125" s="2" t="str">
        <f>CONCATENATE((IF(A125="","",(VLOOKUP(Novedades!D125,datos!$A$1:$C$46,3,FALSE)))),E125)</f>
        <v/>
      </c>
    </row>
    <row r="126" spans="5:10" x14ac:dyDescent="0.25">
      <c r="E126" t="str">
        <f>IF(D126="","",(VLOOKUP(D126,datos!A:D,4,FALSE)))</f>
        <v/>
      </c>
      <c r="G126" s="4"/>
      <c r="I126" s="2"/>
      <c r="J126" s="2" t="str">
        <f>CONCATENATE((IF(A126="","",(VLOOKUP(Novedades!D126,datos!$A$1:$C$46,3,FALSE)))),E126)</f>
        <v/>
      </c>
    </row>
    <row r="127" spans="5:10" x14ac:dyDescent="0.25">
      <c r="E127" t="str">
        <f>IF(D127="","",(VLOOKUP(D127,datos!A:D,4,FALSE)))</f>
        <v/>
      </c>
      <c r="G127" s="4"/>
      <c r="I127" s="2"/>
      <c r="J127" s="2" t="str">
        <f>CONCATENATE((IF(A127="","",(VLOOKUP(Novedades!D127,datos!$A$1:$C$46,3,FALSE)))),E127)</f>
        <v/>
      </c>
    </row>
    <row r="128" spans="5:10" x14ac:dyDescent="0.25">
      <c r="E128" t="str">
        <f>IF(D128="","",(VLOOKUP(D128,datos!A:D,4,FALSE)))</f>
        <v/>
      </c>
      <c r="G128" s="4"/>
      <c r="I128" s="2"/>
      <c r="J128" s="2" t="str">
        <f>CONCATENATE((IF(A128="","",(VLOOKUP(Novedades!D128,datos!$A$1:$C$46,3,FALSE)))),E128)</f>
        <v/>
      </c>
    </row>
    <row r="129" spans="5:10" x14ac:dyDescent="0.25">
      <c r="E129" t="str">
        <f>IF(D129="","",(VLOOKUP(D129,datos!A:D,4,FALSE)))</f>
        <v/>
      </c>
      <c r="G129" s="4"/>
      <c r="I129" s="2"/>
      <c r="J129" s="2" t="str">
        <f>CONCATENATE((IF(A129="","",(VLOOKUP(Novedades!D129,datos!$A$1:$C$46,3,FALSE)))),E129)</f>
        <v/>
      </c>
    </row>
    <row r="130" spans="5:10" x14ac:dyDescent="0.25">
      <c r="E130" t="str">
        <f>IF(D130="","",(VLOOKUP(D130,datos!A:D,4,FALSE)))</f>
        <v/>
      </c>
      <c r="G130" s="4"/>
      <c r="I130" s="2"/>
      <c r="J130" s="2" t="str">
        <f>CONCATENATE((IF(A130="","",(VLOOKUP(Novedades!D130,datos!$A$1:$C$46,3,FALSE)))),E130)</f>
        <v/>
      </c>
    </row>
    <row r="131" spans="5:10" x14ac:dyDescent="0.25">
      <c r="E131" t="str">
        <f>IF(D131="","",(VLOOKUP(D131,datos!A:D,4,FALSE)))</f>
        <v/>
      </c>
      <c r="G131" s="4"/>
      <c r="I131" s="2"/>
      <c r="J131" s="2" t="str">
        <f>CONCATENATE((IF(A131="","",(VLOOKUP(Novedades!D131,datos!$A$1:$C$46,3,FALSE)))),E131)</f>
        <v/>
      </c>
    </row>
    <row r="132" spans="5:10" x14ac:dyDescent="0.25">
      <c r="E132" t="str">
        <f>IF(D132="","",(VLOOKUP(D132,datos!A:D,4,FALSE)))</f>
        <v/>
      </c>
      <c r="G132" s="4"/>
      <c r="I132" s="2"/>
      <c r="J132" s="2" t="str">
        <f>CONCATENATE((IF(A132="","",(VLOOKUP(Novedades!D132,datos!$A$1:$C$46,3,FALSE)))),E132)</f>
        <v/>
      </c>
    </row>
    <row r="133" spans="5:10" x14ac:dyDescent="0.25">
      <c r="E133" t="str">
        <f>IF(D133="","",(VLOOKUP(D133,datos!A:D,4,FALSE)))</f>
        <v/>
      </c>
      <c r="G133" s="4"/>
      <c r="I133" s="2"/>
      <c r="J133" s="2" t="str">
        <f>CONCATENATE((IF(A133="","",(VLOOKUP(Novedades!D133,datos!$A$1:$C$46,3,FALSE)))),E133)</f>
        <v/>
      </c>
    </row>
    <row r="134" spans="5:10" x14ac:dyDescent="0.25">
      <c r="E134" t="str">
        <f>IF(D134="","",(VLOOKUP(D134,datos!A:D,4,FALSE)))</f>
        <v/>
      </c>
      <c r="G134" s="4"/>
      <c r="I134" s="2"/>
      <c r="J134" s="2" t="str">
        <f>CONCATENATE((IF(A134="","",(VLOOKUP(Novedades!D134,datos!$A$1:$C$46,3,FALSE)))),E134)</f>
        <v/>
      </c>
    </row>
    <row r="135" spans="5:10" x14ac:dyDescent="0.25">
      <c r="E135" t="str">
        <f>IF(D135="","",(VLOOKUP(D135,datos!A:D,4,FALSE)))</f>
        <v/>
      </c>
      <c r="G135" s="4"/>
      <c r="I135" s="2"/>
      <c r="J135" s="2" t="str">
        <f>CONCATENATE((IF(A135="","",(VLOOKUP(Novedades!D135,datos!$A$1:$C$46,3,FALSE)))),E135)</f>
        <v/>
      </c>
    </row>
    <row r="136" spans="5:10" x14ac:dyDescent="0.25">
      <c r="E136" t="str">
        <f>IF(D136="","",(VLOOKUP(D136,datos!A:D,4,FALSE)))</f>
        <v/>
      </c>
      <c r="G136" s="4"/>
      <c r="I136" s="2"/>
      <c r="J136" s="2" t="str">
        <f>CONCATENATE((IF(A136="","",(VLOOKUP(Novedades!D136,datos!$A$1:$C$46,3,FALSE)))),E136)</f>
        <v/>
      </c>
    </row>
    <row r="137" spans="5:10" x14ac:dyDescent="0.25">
      <c r="E137" t="str">
        <f>IF(D137="","",(VLOOKUP(D137,datos!A:D,4,FALSE)))</f>
        <v/>
      </c>
      <c r="G137" s="4"/>
      <c r="I137" s="2"/>
      <c r="J137" s="2" t="str">
        <f>CONCATENATE((IF(A137="","",(VLOOKUP(Novedades!D137,datos!$A$1:$C$46,3,FALSE)))),E137)</f>
        <v/>
      </c>
    </row>
    <row r="138" spans="5:10" x14ac:dyDescent="0.25">
      <c r="E138" t="str">
        <f>IF(D138="","",(VLOOKUP(D138,datos!A:D,4,FALSE)))</f>
        <v/>
      </c>
      <c r="G138" s="4"/>
      <c r="I138" s="2"/>
      <c r="J138" s="2" t="str">
        <f>CONCATENATE((IF(A138="","",(VLOOKUP(Novedades!D138,datos!$A$1:$C$46,3,FALSE)))),E138)</f>
        <v/>
      </c>
    </row>
    <row r="139" spans="5:10" x14ac:dyDescent="0.25">
      <c r="E139" t="str">
        <f>IF(D139="","",(VLOOKUP(D139,datos!A:D,4,FALSE)))</f>
        <v/>
      </c>
      <c r="G139" s="4"/>
      <c r="I139" s="2"/>
      <c r="J139" s="2" t="str">
        <f>CONCATENATE((IF(A139="","",(VLOOKUP(Novedades!D139,datos!$A$1:$C$46,3,FALSE)))),E139)</f>
        <v/>
      </c>
    </row>
    <row r="140" spans="5:10" x14ac:dyDescent="0.25">
      <c r="E140" t="str">
        <f>IF(D140="","",(VLOOKUP(D140,datos!A:D,4,FALSE)))</f>
        <v/>
      </c>
      <c r="G140" s="4"/>
      <c r="I140" s="2"/>
      <c r="J140" s="2" t="str">
        <f>CONCATENATE((IF(A140="","",(VLOOKUP(Novedades!D140,datos!$A$1:$C$46,3,FALSE)))),E140)</f>
        <v/>
      </c>
    </row>
    <row r="141" spans="5:10" x14ac:dyDescent="0.25">
      <c r="E141" t="str">
        <f>IF(D141="","",(VLOOKUP(D141,datos!A:D,4,FALSE)))</f>
        <v/>
      </c>
      <c r="G141" s="4"/>
      <c r="I141" s="2"/>
      <c r="J141" s="2" t="str">
        <f>CONCATENATE((IF(A141="","",(VLOOKUP(Novedades!D141,datos!$A$1:$C$46,3,FALSE)))),E141)</f>
        <v/>
      </c>
    </row>
    <row r="142" spans="5:10" x14ac:dyDescent="0.25">
      <c r="E142" t="str">
        <f>IF(D142="","",(VLOOKUP(D142,datos!A:D,4,FALSE)))</f>
        <v/>
      </c>
      <c r="G142" s="4"/>
      <c r="I142" s="2"/>
      <c r="J142" s="2" t="str">
        <f>CONCATENATE((IF(A142="","",(VLOOKUP(Novedades!D142,datos!$A$1:$C$46,3,FALSE)))),E142)</f>
        <v/>
      </c>
    </row>
    <row r="143" spans="5:10" x14ac:dyDescent="0.25">
      <c r="E143" t="str">
        <f>IF(D143="","",(VLOOKUP(D143,datos!A:D,4,FALSE)))</f>
        <v/>
      </c>
      <c r="G143" s="4"/>
      <c r="I143" s="2"/>
      <c r="J143" s="2" t="str">
        <f>CONCATENATE((IF(A143="","",(VLOOKUP(Novedades!D143,datos!$A$1:$C$46,3,FALSE)))),E143)</f>
        <v/>
      </c>
    </row>
    <row r="144" spans="5:10" x14ac:dyDescent="0.25">
      <c r="E144" t="str">
        <f>IF(D144="","",(VLOOKUP(D144,datos!A:D,4,FALSE)))</f>
        <v/>
      </c>
      <c r="G144" s="4"/>
      <c r="I144" s="2"/>
      <c r="J144" s="2" t="str">
        <f>CONCATENATE((IF(A144="","",(VLOOKUP(Novedades!D144,datos!$A$1:$C$46,3,FALSE)))),E144)</f>
        <v/>
      </c>
    </row>
    <row r="145" spans="5:10" x14ac:dyDescent="0.25">
      <c r="E145" t="str">
        <f>IF(D145="","",(VLOOKUP(D145,datos!A:D,4,FALSE)))</f>
        <v/>
      </c>
      <c r="G145" s="4"/>
      <c r="I145" s="2"/>
      <c r="J145" s="2" t="str">
        <f>CONCATENATE((IF(A145="","",(VLOOKUP(Novedades!D145,datos!$A$1:$C$46,3,FALSE)))),E145)</f>
        <v/>
      </c>
    </row>
    <row r="146" spans="5:10" x14ac:dyDescent="0.25">
      <c r="E146" t="str">
        <f>IF(D146="","",(VLOOKUP(D146,datos!A:D,4,FALSE)))</f>
        <v/>
      </c>
      <c r="G146" s="4"/>
      <c r="I146" s="2"/>
      <c r="J146" s="2" t="str">
        <f>CONCATENATE((IF(A146="","",(VLOOKUP(Novedades!D146,datos!$A$1:$C$46,3,FALSE)))),E146)</f>
        <v/>
      </c>
    </row>
    <row r="147" spans="5:10" x14ac:dyDescent="0.25">
      <c r="E147" t="str">
        <f>IF(D147="","",(VLOOKUP(D147,datos!A:D,4,FALSE)))</f>
        <v/>
      </c>
      <c r="G147" s="4"/>
      <c r="I147" s="2"/>
      <c r="J147" s="2" t="str">
        <f>CONCATENATE((IF(A147="","",(VLOOKUP(Novedades!D147,datos!$A$1:$C$46,3,FALSE)))),E147)</f>
        <v/>
      </c>
    </row>
    <row r="148" spans="5:10" x14ac:dyDescent="0.25">
      <c r="E148" t="str">
        <f>IF(D148="","",(VLOOKUP(D148,datos!A:D,4,FALSE)))</f>
        <v/>
      </c>
      <c r="G148" s="4"/>
      <c r="I148" s="2"/>
      <c r="J148" s="2" t="str">
        <f>CONCATENATE((IF(A148="","",(VLOOKUP(Novedades!D148,datos!$A$1:$C$46,3,FALSE)))),E148)</f>
        <v/>
      </c>
    </row>
    <row r="149" spans="5:10" x14ac:dyDescent="0.25">
      <c r="E149" t="str">
        <f>IF(D149="","",(VLOOKUP(D149,datos!A:D,4,FALSE)))</f>
        <v/>
      </c>
      <c r="G149" s="4"/>
      <c r="I149" s="2"/>
      <c r="J149" s="2" t="str">
        <f>CONCATENATE((IF(A149="","",(VLOOKUP(Novedades!D149,datos!$A$1:$C$46,3,FALSE)))),E149)</f>
        <v/>
      </c>
    </row>
    <row r="150" spans="5:10" x14ac:dyDescent="0.25">
      <c r="E150" t="str">
        <f>IF(D150="","",(VLOOKUP(D150,datos!A:D,4,FALSE)))</f>
        <v/>
      </c>
      <c r="G150" s="4"/>
      <c r="I150" s="2"/>
      <c r="J150" s="2" t="str">
        <f>CONCATENATE((IF(A150="","",(VLOOKUP(Novedades!D150,datos!$A$1:$C$46,3,FALSE)))),E150)</f>
        <v/>
      </c>
    </row>
    <row r="151" spans="5:10" x14ac:dyDescent="0.25">
      <c r="E151" t="str">
        <f>IF(D151="","",(VLOOKUP(D151,datos!A:D,4,FALSE)))</f>
        <v/>
      </c>
      <c r="G151" s="4"/>
      <c r="I151" s="2"/>
      <c r="J151" s="2" t="str">
        <f>CONCATENATE((IF(A151="","",(VLOOKUP(Novedades!D151,datos!$A$1:$C$46,3,FALSE)))),E151)</f>
        <v/>
      </c>
    </row>
    <row r="152" spans="5:10" x14ac:dyDescent="0.25">
      <c r="E152" t="str">
        <f>IF(D152="","",(VLOOKUP(D152,datos!A:D,4,FALSE)))</f>
        <v/>
      </c>
      <c r="G152" s="4"/>
      <c r="I152" s="2"/>
      <c r="J152" s="2" t="str">
        <f>CONCATENATE((IF(A152="","",(VLOOKUP(Novedades!D152,datos!$A$1:$C$46,3,FALSE)))),E152)</f>
        <v/>
      </c>
    </row>
    <row r="153" spans="5:10" x14ac:dyDescent="0.25">
      <c r="E153" t="str">
        <f>IF(D153="","",(VLOOKUP(D153,datos!A:D,4,FALSE)))</f>
        <v/>
      </c>
      <c r="G153" s="4"/>
      <c r="I153" s="2"/>
      <c r="J153" s="2" t="str">
        <f>CONCATENATE((IF(A153="","",(VLOOKUP(Novedades!D153,datos!$A$1:$C$46,3,FALSE)))),E153)</f>
        <v/>
      </c>
    </row>
    <row r="154" spans="5:10" x14ac:dyDescent="0.25">
      <c r="E154" t="str">
        <f>IF(D154="","",(VLOOKUP(D154,datos!A:D,4,FALSE)))</f>
        <v/>
      </c>
      <c r="G154" s="4"/>
      <c r="I154" s="2"/>
      <c r="J154" s="2" t="str">
        <f>CONCATENATE((IF(A154="","",(VLOOKUP(Novedades!D154,datos!$A$1:$C$46,3,FALSE)))),E154)</f>
        <v/>
      </c>
    </row>
    <row r="155" spans="5:10" x14ac:dyDescent="0.25">
      <c r="E155" t="str">
        <f>IF(D155="","",(VLOOKUP(D155,datos!A:D,4,FALSE)))</f>
        <v/>
      </c>
      <c r="G155" s="4"/>
      <c r="I155" s="2"/>
      <c r="J155" s="2" t="str">
        <f>CONCATENATE((IF(A155="","",(VLOOKUP(Novedades!D155,datos!$A$1:$C$46,3,FALSE)))),E155)</f>
        <v/>
      </c>
    </row>
    <row r="156" spans="5:10" x14ac:dyDescent="0.25">
      <c r="E156" t="str">
        <f>IF(D156="","",(VLOOKUP(D156,datos!A:D,4,FALSE)))</f>
        <v/>
      </c>
      <c r="G156" s="4"/>
      <c r="I156" s="2"/>
      <c r="J156" s="2" t="str">
        <f>CONCATENATE((IF(A156="","",(VLOOKUP(Novedades!D156,datos!$A$1:$C$46,3,FALSE)))),E156)</f>
        <v/>
      </c>
    </row>
    <row r="157" spans="5:10" x14ac:dyDescent="0.25">
      <c r="E157" t="str">
        <f>IF(D157="","",(VLOOKUP(D157,datos!A:D,4,FALSE)))</f>
        <v/>
      </c>
      <c r="G157" s="4"/>
      <c r="I157" s="2"/>
      <c r="J157" s="2" t="str">
        <f>CONCATENATE((IF(A157="","",(VLOOKUP(Novedades!D157,datos!$A$1:$C$46,3,FALSE)))),E157)</f>
        <v/>
      </c>
    </row>
    <row r="158" spans="5:10" x14ac:dyDescent="0.25">
      <c r="E158" t="str">
        <f>IF(D158="","",(VLOOKUP(D158,datos!A:D,4,FALSE)))</f>
        <v/>
      </c>
      <c r="G158" s="4"/>
      <c r="I158" s="2"/>
      <c r="J158" s="2" t="str">
        <f>CONCATENATE((IF(A158="","",(VLOOKUP(Novedades!D158,datos!$A$1:$C$46,3,FALSE)))),E158)</f>
        <v/>
      </c>
    </row>
    <row r="159" spans="5:10" x14ac:dyDescent="0.25">
      <c r="E159" t="str">
        <f>IF(D159="","",(VLOOKUP(D159,datos!A:D,4,FALSE)))</f>
        <v/>
      </c>
      <c r="G159" s="4"/>
      <c r="I159" s="2"/>
      <c r="J159" s="2" t="str">
        <f>CONCATENATE((IF(A159="","",(VLOOKUP(Novedades!D159,datos!$A$1:$C$46,3,FALSE)))),E159)</f>
        <v/>
      </c>
    </row>
    <row r="160" spans="5:10" x14ac:dyDescent="0.25">
      <c r="E160" t="str">
        <f>IF(D160="","",(VLOOKUP(D160,datos!A:D,4,FALSE)))</f>
        <v/>
      </c>
      <c r="G160" s="4"/>
      <c r="I160" s="2"/>
      <c r="J160" s="2" t="str">
        <f>CONCATENATE((IF(A160="","",(VLOOKUP(Novedades!D160,datos!$A$1:$C$46,3,FALSE)))),E160)</f>
        <v/>
      </c>
    </row>
    <row r="161" spans="5:10" x14ac:dyDescent="0.25">
      <c r="E161" t="str">
        <f>IF(D161="","",(VLOOKUP(D161,datos!A:D,4,FALSE)))</f>
        <v/>
      </c>
      <c r="G161" s="4"/>
      <c r="I161" s="2"/>
      <c r="J161" s="2" t="str">
        <f>CONCATENATE((IF(A161="","",(VLOOKUP(Novedades!D161,datos!$A$1:$C$46,3,FALSE)))),E161)</f>
        <v/>
      </c>
    </row>
    <row r="162" spans="5:10" x14ac:dyDescent="0.25">
      <c r="E162" t="str">
        <f>IF(D162="","",(VLOOKUP(D162,datos!A:D,4,FALSE)))</f>
        <v/>
      </c>
      <c r="G162" s="4"/>
      <c r="I162" s="2"/>
      <c r="J162" s="2" t="str">
        <f>CONCATENATE((IF(A162="","",(VLOOKUP(Novedades!D162,datos!$A$1:$C$46,3,FALSE)))),E162)</f>
        <v/>
      </c>
    </row>
    <row r="163" spans="5:10" x14ac:dyDescent="0.25">
      <c r="E163" t="str">
        <f>IF(D163="","",(VLOOKUP(D163,datos!A:D,4,FALSE)))</f>
        <v/>
      </c>
      <c r="G163" s="4"/>
      <c r="I163" s="2"/>
      <c r="J163" s="2" t="str">
        <f>CONCATENATE((IF(A163="","",(VLOOKUP(Novedades!D163,datos!$A$1:$C$46,3,FALSE)))),E163)</f>
        <v/>
      </c>
    </row>
    <row r="164" spans="5:10" x14ac:dyDescent="0.25">
      <c r="E164" t="str">
        <f>IF(D164="","",(VLOOKUP(D164,datos!A:D,4,FALSE)))</f>
        <v/>
      </c>
      <c r="G164" s="4"/>
      <c r="I164" s="2"/>
      <c r="J164" s="2" t="str">
        <f>CONCATENATE((IF(A164="","",(VLOOKUP(Novedades!D164,datos!$A$1:$C$46,3,FALSE)))),E164)</f>
        <v/>
      </c>
    </row>
    <row r="165" spans="5:10" x14ac:dyDescent="0.25">
      <c r="E165" t="str">
        <f>IF(D165="","",(VLOOKUP(D165,datos!A:D,4,FALSE)))</f>
        <v/>
      </c>
      <c r="G165" s="4"/>
      <c r="I165" s="2"/>
      <c r="J165" s="2" t="str">
        <f>CONCATENATE((IF(A165="","",(VLOOKUP(Novedades!D165,datos!$A$1:$C$46,3,FALSE)))),E165)</f>
        <v/>
      </c>
    </row>
    <row r="166" spans="5:10" x14ac:dyDescent="0.25">
      <c r="E166" t="str">
        <f>IF(D166="","",(VLOOKUP(D166,datos!A:D,4,FALSE)))</f>
        <v/>
      </c>
      <c r="G166" s="4"/>
      <c r="I166" s="2"/>
      <c r="J166" s="2" t="str">
        <f>CONCATENATE((IF(A166="","",(VLOOKUP(Novedades!D166,datos!$A$1:$C$46,3,FALSE)))),E166)</f>
        <v/>
      </c>
    </row>
    <row r="167" spans="5:10" x14ac:dyDescent="0.25">
      <c r="E167" t="str">
        <f>IF(D167="","",(VLOOKUP(D167,datos!A:D,4,FALSE)))</f>
        <v/>
      </c>
      <c r="G167" s="4"/>
      <c r="I167" s="2"/>
      <c r="J167" s="2" t="str">
        <f>CONCATENATE((IF(A167="","",(VLOOKUP(Novedades!D167,datos!$A$1:$C$46,3,FALSE)))),E167)</f>
        <v/>
      </c>
    </row>
    <row r="168" spans="5:10" x14ac:dyDescent="0.25">
      <c r="E168" t="str">
        <f>IF(D168="","",(VLOOKUP(D168,datos!A:D,4,FALSE)))</f>
        <v/>
      </c>
      <c r="G168" s="4"/>
      <c r="I168" s="2"/>
      <c r="J168" s="2" t="str">
        <f>CONCATENATE((IF(A168="","",(VLOOKUP(Novedades!D168,datos!$A$1:$C$46,3,FALSE)))),E168)</f>
        <v/>
      </c>
    </row>
    <row r="169" spans="5:10" x14ac:dyDescent="0.25">
      <c r="E169" t="str">
        <f>IF(D169="","",(VLOOKUP(D169,datos!A:D,4,FALSE)))</f>
        <v/>
      </c>
      <c r="G169" s="4"/>
      <c r="I169" s="2"/>
      <c r="J169" s="2" t="str">
        <f>CONCATENATE((IF(A169="","",(VLOOKUP(Novedades!D169,datos!$A$1:$C$46,3,FALSE)))),E169)</f>
        <v/>
      </c>
    </row>
    <row r="170" spans="5:10" x14ac:dyDescent="0.25">
      <c r="E170" t="str">
        <f>IF(D170="","",(VLOOKUP(D170,datos!A:D,4,FALSE)))</f>
        <v/>
      </c>
      <c r="G170" s="4"/>
      <c r="I170" s="2"/>
      <c r="J170" s="2" t="str">
        <f>CONCATENATE((IF(A170="","",(VLOOKUP(Novedades!D170,datos!$A$1:$C$46,3,FALSE)))),E170)</f>
        <v/>
      </c>
    </row>
    <row r="171" spans="5:10" x14ac:dyDescent="0.25">
      <c r="E171" t="str">
        <f>IF(D171="","",(VLOOKUP(D171,datos!A:D,4,FALSE)))</f>
        <v/>
      </c>
      <c r="G171" s="4"/>
      <c r="I171" s="2"/>
      <c r="J171" s="2" t="str">
        <f>CONCATENATE((IF(A171="","",(VLOOKUP(Novedades!D171,datos!$A$1:$C$46,3,FALSE)))),E171)</f>
        <v/>
      </c>
    </row>
    <row r="172" spans="5:10" x14ac:dyDescent="0.25">
      <c r="E172" t="str">
        <f>IF(D172="","",(VLOOKUP(D172,datos!A:D,4,FALSE)))</f>
        <v/>
      </c>
      <c r="G172" s="4"/>
      <c r="I172" s="2"/>
      <c r="J172" s="2" t="str">
        <f>CONCATENATE((IF(A172="","",(VLOOKUP(Novedades!D172,datos!$A$1:$C$46,3,FALSE)))),E172)</f>
        <v/>
      </c>
    </row>
    <row r="173" spans="5:10" x14ac:dyDescent="0.25">
      <c r="E173" t="str">
        <f>IF(D173="","",(VLOOKUP(D173,datos!A:D,4,FALSE)))</f>
        <v/>
      </c>
      <c r="G173" s="4"/>
      <c r="I173" s="2"/>
      <c r="J173" s="2" t="str">
        <f>CONCATENATE((IF(A173="","",(VLOOKUP(Novedades!D173,datos!$A$1:$C$46,3,FALSE)))),E173)</f>
        <v/>
      </c>
    </row>
    <row r="174" spans="5:10" x14ac:dyDescent="0.25">
      <c r="E174" t="str">
        <f>IF(D174="","",(VLOOKUP(D174,datos!A:D,4,FALSE)))</f>
        <v/>
      </c>
      <c r="G174" s="4"/>
      <c r="I174" s="2"/>
      <c r="J174" s="2" t="str">
        <f>CONCATENATE((IF(A174="","",(VLOOKUP(Novedades!D174,datos!$A$1:$C$46,3,FALSE)))),E174)</f>
        <v/>
      </c>
    </row>
    <row r="175" spans="5:10" x14ac:dyDescent="0.25">
      <c r="E175" t="str">
        <f>IF(D175="","",(VLOOKUP(D175,datos!A:D,4,FALSE)))</f>
        <v/>
      </c>
      <c r="G175" s="4"/>
      <c r="I175" s="2"/>
      <c r="J175" s="2" t="str">
        <f>CONCATENATE((IF(A175="","",(VLOOKUP(Novedades!D175,datos!$A$1:$C$46,3,FALSE)))),E175)</f>
        <v/>
      </c>
    </row>
    <row r="176" spans="5:10" x14ac:dyDescent="0.25">
      <c r="E176" t="str">
        <f>IF(D176="","",(VLOOKUP(D176,datos!A:D,4,FALSE)))</f>
        <v/>
      </c>
      <c r="G176" s="4"/>
      <c r="I176" s="2"/>
      <c r="J176" s="2" t="str">
        <f>CONCATENATE((IF(A176="","",(VLOOKUP(Novedades!D176,datos!$A$1:$C$46,3,FALSE)))),E176)</f>
        <v/>
      </c>
    </row>
    <row r="177" spans="5:10" x14ac:dyDescent="0.25">
      <c r="E177" t="str">
        <f>IF(D177="","",(VLOOKUP(D177,datos!A:D,4,FALSE)))</f>
        <v/>
      </c>
      <c r="G177" s="4"/>
      <c r="I177" s="2"/>
      <c r="J177" s="2" t="str">
        <f>CONCATENATE((IF(A177="","",(VLOOKUP(Novedades!D177,datos!$A$1:$C$46,3,FALSE)))),E177)</f>
        <v/>
      </c>
    </row>
    <row r="178" spans="5:10" x14ac:dyDescent="0.25">
      <c r="E178" t="str">
        <f>IF(D178="","",(VLOOKUP(D178,datos!A:D,4,FALSE)))</f>
        <v/>
      </c>
      <c r="G178" s="4"/>
      <c r="I178" s="2"/>
      <c r="J178" s="2" t="str">
        <f>CONCATENATE((IF(A178="","",(VLOOKUP(Novedades!D178,datos!$A$1:$C$46,3,FALSE)))),E178)</f>
        <v/>
      </c>
    </row>
    <row r="179" spans="5:10" x14ac:dyDescent="0.25">
      <c r="E179" t="str">
        <f>IF(D179="","",(VLOOKUP(D179,datos!A:D,4,FALSE)))</f>
        <v/>
      </c>
      <c r="G179" s="4"/>
      <c r="I179" s="2"/>
      <c r="J179" s="2" t="str">
        <f>CONCATENATE((IF(A179="","",(VLOOKUP(Novedades!D179,datos!$A$1:$C$46,3,FALSE)))),E179)</f>
        <v/>
      </c>
    </row>
    <row r="180" spans="5:10" x14ac:dyDescent="0.25">
      <c r="E180" t="str">
        <f>IF(D180="","",(VLOOKUP(D180,datos!A:D,4,FALSE)))</f>
        <v/>
      </c>
      <c r="G180" s="4"/>
      <c r="I180" s="2"/>
      <c r="J180" s="2" t="str">
        <f>CONCATENATE((IF(A180="","",(VLOOKUP(Novedades!D180,datos!$A$1:$C$46,3,FALSE)))),E180)</f>
        <v/>
      </c>
    </row>
    <row r="181" spans="5:10" x14ac:dyDescent="0.25">
      <c r="E181" t="str">
        <f>IF(D181="","",(VLOOKUP(D181,datos!A:D,4,FALSE)))</f>
        <v/>
      </c>
      <c r="G181" s="4"/>
      <c r="I181" s="2"/>
      <c r="J181" s="2" t="str">
        <f>CONCATENATE((IF(A181="","",(VLOOKUP(Novedades!D181,datos!$A$1:$C$46,3,FALSE)))),E181)</f>
        <v/>
      </c>
    </row>
    <row r="182" spans="5:10" x14ac:dyDescent="0.25">
      <c r="E182" t="str">
        <f>IF(D182="","",(VLOOKUP(D182,datos!A:D,4,FALSE)))</f>
        <v/>
      </c>
      <c r="G182" s="4"/>
      <c r="I182" s="2"/>
      <c r="J182" s="2" t="str">
        <f>CONCATENATE((IF(A182="","",(VLOOKUP(Novedades!D182,datos!$A$1:$C$46,3,FALSE)))),E182)</f>
        <v/>
      </c>
    </row>
    <row r="183" spans="5:10" x14ac:dyDescent="0.25">
      <c r="E183" t="str">
        <f>IF(D183="","",(VLOOKUP(D183,datos!A:D,4,FALSE)))</f>
        <v/>
      </c>
      <c r="G183" s="4"/>
      <c r="I183" s="2"/>
      <c r="J183" s="2" t="str">
        <f>CONCATENATE((IF(A183="","",(VLOOKUP(Novedades!D183,datos!$A$1:$C$46,3,FALSE)))),E183)</f>
        <v/>
      </c>
    </row>
    <row r="184" spans="5:10" x14ac:dyDescent="0.25">
      <c r="E184" t="str">
        <f>IF(D184="","",(VLOOKUP(D184,datos!A:D,4,FALSE)))</f>
        <v/>
      </c>
      <c r="G184" s="4"/>
      <c r="I184" s="2"/>
      <c r="J184" s="2" t="str">
        <f>CONCATENATE((IF(A184="","",(VLOOKUP(Novedades!D184,datos!$A$1:$C$46,3,FALSE)))),E184)</f>
        <v/>
      </c>
    </row>
    <row r="185" spans="5:10" x14ac:dyDescent="0.25">
      <c r="E185" t="str">
        <f>IF(D185="","",(VLOOKUP(D185,datos!A:D,4,FALSE)))</f>
        <v/>
      </c>
      <c r="G185" s="4"/>
      <c r="I185" s="2"/>
      <c r="J185" s="2" t="str">
        <f>CONCATENATE((IF(A185="","",(VLOOKUP(Novedades!D185,datos!$A$1:$C$46,3,FALSE)))),E185)</f>
        <v/>
      </c>
    </row>
    <row r="186" spans="5:10" x14ac:dyDescent="0.25">
      <c r="E186" t="str">
        <f>IF(D186="","",(VLOOKUP(D186,datos!A:D,4,FALSE)))</f>
        <v/>
      </c>
      <c r="G186" s="4"/>
      <c r="I186" s="2"/>
      <c r="J186" s="2" t="str">
        <f>CONCATENATE((IF(A186="","",(VLOOKUP(Novedades!D186,datos!$A$1:$C$46,3,FALSE)))),E186)</f>
        <v/>
      </c>
    </row>
    <row r="187" spans="5:10" x14ac:dyDescent="0.25">
      <c r="E187" t="str">
        <f>IF(D187="","",(VLOOKUP(D187,datos!A:D,4,FALSE)))</f>
        <v/>
      </c>
      <c r="G187" s="4"/>
      <c r="I187" s="2"/>
      <c r="J187" s="2" t="str">
        <f>CONCATENATE((IF(A187="","",(VLOOKUP(Novedades!D187,datos!$A$1:$C$46,3,FALSE)))),E187)</f>
        <v/>
      </c>
    </row>
    <row r="188" spans="5:10" x14ac:dyDescent="0.25">
      <c r="E188" t="str">
        <f>IF(D188="","",(VLOOKUP(D188,datos!A:D,4,FALSE)))</f>
        <v/>
      </c>
      <c r="G188" s="4"/>
      <c r="I188" s="2"/>
      <c r="J188" s="2" t="str">
        <f>CONCATENATE((IF(A188="","",(VLOOKUP(Novedades!D188,datos!$A$1:$C$46,3,FALSE)))),E188)</f>
        <v/>
      </c>
    </row>
    <row r="189" spans="5:10" x14ac:dyDescent="0.25">
      <c r="E189" t="str">
        <f>IF(D189="","",(VLOOKUP(D189,datos!A:D,4,FALSE)))</f>
        <v/>
      </c>
      <c r="G189" s="4"/>
      <c r="I189" s="2"/>
      <c r="J189" s="2" t="str">
        <f>CONCATENATE((IF(A189="","",(VLOOKUP(Novedades!D189,datos!$A$1:$C$46,3,FALSE)))),E189)</f>
        <v/>
      </c>
    </row>
    <row r="190" spans="5:10" x14ac:dyDescent="0.25">
      <c r="E190" t="str">
        <f>IF(D190="","",(VLOOKUP(D190,datos!A:D,4,FALSE)))</f>
        <v/>
      </c>
      <c r="G190" s="4"/>
      <c r="I190" s="2"/>
      <c r="J190" s="2" t="str">
        <f>CONCATENATE((IF(A190="","",(VLOOKUP(Novedades!D190,datos!$A$1:$C$46,3,FALSE)))),E190)</f>
        <v/>
      </c>
    </row>
    <row r="191" spans="5:10" x14ac:dyDescent="0.25">
      <c r="E191" t="str">
        <f>IF(D191="","",(VLOOKUP(D191,datos!A:D,4,FALSE)))</f>
        <v/>
      </c>
      <c r="G191" s="4"/>
      <c r="I191" s="2"/>
      <c r="J191" s="2" t="str">
        <f>CONCATENATE((IF(A191="","",(VLOOKUP(Novedades!D191,datos!$A$1:$C$46,3,FALSE)))),E191)</f>
        <v/>
      </c>
    </row>
    <row r="192" spans="5:10" x14ac:dyDescent="0.25">
      <c r="E192" t="str">
        <f>IF(D192="","",(VLOOKUP(D192,datos!A:D,4,FALSE)))</f>
        <v/>
      </c>
      <c r="G192" s="4"/>
      <c r="I192" s="2"/>
      <c r="J192" s="2" t="str">
        <f>CONCATENATE((IF(A192="","",(VLOOKUP(Novedades!D192,datos!$A$1:$C$46,3,FALSE)))),E192)</f>
        <v/>
      </c>
    </row>
    <row r="193" spans="5:10" x14ac:dyDescent="0.25">
      <c r="E193" t="str">
        <f>IF(D193="","",(VLOOKUP(D193,datos!A:D,4,FALSE)))</f>
        <v/>
      </c>
      <c r="G193" s="4"/>
      <c r="I193" s="2"/>
      <c r="J193" s="2" t="str">
        <f>CONCATENATE((IF(A193="","",(VLOOKUP(Novedades!D193,datos!$A$1:$C$46,3,FALSE)))),E193)</f>
        <v/>
      </c>
    </row>
    <row r="194" spans="5:10" x14ac:dyDescent="0.25">
      <c r="E194" t="str">
        <f>IF(D194="","",(VLOOKUP(D194,datos!A:D,4,FALSE)))</f>
        <v/>
      </c>
      <c r="G194" s="4"/>
      <c r="I194" s="2"/>
      <c r="J194" s="2" t="str">
        <f>CONCATENATE((IF(A194="","",(VLOOKUP(Novedades!D194,datos!$A$1:$C$46,3,FALSE)))),E194)</f>
        <v/>
      </c>
    </row>
    <row r="195" spans="5:10" x14ac:dyDescent="0.25">
      <c r="E195" t="str">
        <f>IF(D195="","",(VLOOKUP(D195,datos!A:D,4,FALSE)))</f>
        <v/>
      </c>
      <c r="G195" s="4"/>
      <c r="I195" s="2"/>
      <c r="J195" s="2" t="str">
        <f>CONCATENATE((IF(A195="","",(VLOOKUP(Novedades!D195,datos!$A$1:$C$46,3,FALSE)))),E195)</f>
        <v/>
      </c>
    </row>
    <row r="196" spans="5:10" x14ac:dyDescent="0.25">
      <c r="E196" t="str">
        <f>IF(D196="","",(VLOOKUP(D196,datos!A:D,4,FALSE)))</f>
        <v/>
      </c>
      <c r="G196" s="4"/>
      <c r="I196" s="2"/>
      <c r="J196" s="2" t="str">
        <f>CONCATENATE((IF(A196="","",(VLOOKUP(Novedades!D196,datos!$A$1:$C$46,3,FALSE)))),E196)</f>
        <v/>
      </c>
    </row>
    <row r="197" spans="5:10" x14ac:dyDescent="0.25">
      <c r="E197" t="str">
        <f>IF(D197="","",(VLOOKUP(D197,datos!A:D,4,FALSE)))</f>
        <v/>
      </c>
      <c r="G197" s="4"/>
      <c r="I197" s="2"/>
      <c r="J197" s="2" t="str">
        <f>CONCATENATE((IF(A197="","",(VLOOKUP(Novedades!D197,datos!$A$1:$C$46,3,FALSE)))),E197)</f>
        <v/>
      </c>
    </row>
    <row r="198" spans="5:10" x14ac:dyDescent="0.25">
      <c r="E198" t="str">
        <f>IF(D198="","",(VLOOKUP(D198,datos!A:D,4,FALSE)))</f>
        <v/>
      </c>
      <c r="G198" s="4"/>
      <c r="I198" s="2"/>
      <c r="J198" s="2" t="str">
        <f>CONCATENATE((IF(A198="","",(VLOOKUP(Novedades!D198,datos!$A$1:$C$46,3,FALSE)))),E198)</f>
        <v/>
      </c>
    </row>
    <row r="199" spans="5:10" x14ac:dyDescent="0.25">
      <c r="E199" t="str">
        <f>IF(D199="","",(VLOOKUP(D199,datos!A:D,4,FALSE)))</f>
        <v/>
      </c>
      <c r="G199" s="4"/>
      <c r="I199" s="2"/>
      <c r="J199" s="2" t="str">
        <f>CONCATENATE((IF(A199="","",(VLOOKUP(Novedades!D199,datos!$A$1:$C$46,3,FALSE)))),E199)</f>
        <v/>
      </c>
    </row>
    <row r="200" spans="5:10" x14ac:dyDescent="0.25">
      <c r="E200" t="str">
        <f>IF(D200="","",(VLOOKUP(D200,datos!A:D,4,FALSE)))</f>
        <v/>
      </c>
      <c r="G200" s="4"/>
      <c r="I200" s="2"/>
      <c r="J200" s="2" t="str">
        <f>CONCATENATE((IF(A200="","",(VLOOKUP(Novedades!D200,datos!$A$1:$C$46,3,FALSE)))),E200)</f>
        <v/>
      </c>
    </row>
    <row r="201" spans="5:10" x14ac:dyDescent="0.25">
      <c r="E201" t="str">
        <f>IF(D201="","",(VLOOKUP(D201,datos!A:D,4,FALSE)))</f>
        <v/>
      </c>
      <c r="G201" s="4"/>
      <c r="I201" s="2"/>
      <c r="J201" s="2" t="str">
        <f>CONCATENATE((IF(A201="","",(VLOOKUP(Novedades!D201,datos!$A$1:$C$46,3,FALSE)))),E201)</f>
        <v/>
      </c>
    </row>
    <row r="202" spans="5:10" x14ac:dyDescent="0.25">
      <c r="E202" t="str">
        <f>IF(D202="","",(VLOOKUP(D202,datos!A:D,4,FALSE)))</f>
        <v/>
      </c>
      <c r="G202" s="4"/>
      <c r="I202" s="2"/>
      <c r="J202" s="2" t="str">
        <f>CONCATENATE((IF(A202="","",(VLOOKUP(Novedades!D202,datos!$A$1:$C$46,3,FALSE)))),E202)</f>
        <v/>
      </c>
    </row>
    <row r="203" spans="5:10" x14ac:dyDescent="0.25">
      <c r="E203" t="str">
        <f>IF(D203="","",(VLOOKUP(D203,datos!A:D,4,FALSE)))</f>
        <v/>
      </c>
      <c r="G203" s="4"/>
      <c r="I203" s="2"/>
      <c r="J203" s="2" t="str">
        <f>CONCATENATE((IF(A203="","",(VLOOKUP(Novedades!D203,datos!$A$1:$C$46,3,FALSE)))),E203)</f>
        <v/>
      </c>
    </row>
    <row r="204" spans="5:10" x14ac:dyDescent="0.25">
      <c r="E204" t="str">
        <f>IF(D204="","",(VLOOKUP(D204,datos!A:D,4,FALSE)))</f>
        <v/>
      </c>
      <c r="G204" s="4"/>
      <c r="I204" s="2"/>
      <c r="J204" s="2" t="str">
        <f>CONCATENATE((IF(A204="","",(VLOOKUP(Novedades!D204,datos!$A$1:$C$46,3,FALSE)))),E204)</f>
        <v/>
      </c>
    </row>
    <row r="205" spans="5:10" x14ac:dyDescent="0.25">
      <c r="E205" t="str">
        <f>IF(D205="","",(VLOOKUP(D205,datos!A:D,4,FALSE)))</f>
        <v/>
      </c>
      <c r="G205" s="4"/>
      <c r="I205" s="2"/>
      <c r="J205" s="2" t="str">
        <f>CONCATENATE((IF(A205="","",(VLOOKUP(Novedades!D205,datos!$A$1:$C$46,3,FALSE)))),E205)</f>
        <v/>
      </c>
    </row>
    <row r="206" spans="5:10" x14ac:dyDescent="0.25">
      <c r="E206" t="str">
        <f>IF(D206="","",(VLOOKUP(D206,datos!A:D,4,FALSE)))</f>
        <v/>
      </c>
      <c r="G206" s="4"/>
      <c r="I206" s="2"/>
      <c r="J206" s="2" t="str">
        <f>CONCATENATE((IF(A206="","",(VLOOKUP(Novedades!D206,datos!$A$1:$C$46,3,FALSE)))),E206)</f>
        <v/>
      </c>
    </row>
    <row r="207" spans="5:10" x14ac:dyDescent="0.25">
      <c r="E207" t="str">
        <f>IF(D207="","",(VLOOKUP(D207,datos!A:D,4,FALSE)))</f>
        <v/>
      </c>
      <c r="G207" s="4"/>
      <c r="I207" s="2"/>
      <c r="J207" s="2" t="str">
        <f>CONCATENATE((IF(A207="","",(VLOOKUP(Novedades!D207,datos!$A$1:$C$46,3,FALSE)))),E207)</f>
        <v/>
      </c>
    </row>
    <row r="208" spans="5:10" x14ac:dyDescent="0.25">
      <c r="E208" t="str">
        <f>IF(D208="","",(VLOOKUP(D208,datos!A:D,4,FALSE)))</f>
        <v/>
      </c>
      <c r="G208" s="4"/>
      <c r="I208" s="2"/>
      <c r="J208" s="2" t="str">
        <f>CONCATENATE((IF(A208="","",(VLOOKUP(Novedades!D208,datos!$A$1:$C$46,3,FALSE)))),E208)</f>
        <v/>
      </c>
    </row>
    <row r="209" spans="5:10" x14ac:dyDescent="0.25">
      <c r="E209" t="str">
        <f>IF(D209="","",(VLOOKUP(D209,datos!A:D,4,FALSE)))</f>
        <v/>
      </c>
      <c r="G209" s="4"/>
      <c r="I209" s="2"/>
      <c r="J209" s="2" t="str">
        <f>CONCATENATE((IF(A209="","",(VLOOKUP(Novedades!D209,datos!$A$1:$C$46,3,FALSE)))),E209)</f>
        <v/>
      </c>
    </row>
    <row r="210" spans="5:10" x14ac:dyDescent="0.25">
      <c r="E210" t="str">
        <f>IF(D210="","",(VLOOKUP(D210,datos!A:D,4,FALSE)))</f>
        <v/>
      </c>
      <c r="G210" s="4"/>
      <c r="I210" s="2"/>
      <c r="J210" s="2" t="str">
        <f>CONCATENATE((IF(A210="","",(VLOOKUP(Novedades!D210,datos!$A$1:$C$46,3,FALSE)))),E210)</f>
        <v/>
      </c>
    </row>
    <row r="211" spans="5:10" x14ac:dyDescent="0.25">
      <c r="E211" t="str">
        <f>IF(D211="","",(VLOOKUP(D211,datos!A:D,4,FALSE)))</f>
        <v/>
      </c>
      <c r="G211" s="4"/>
      <c r="I211" s="2"/>
      <c r="J211" s="2" t="str">
        <f>CONCATENATE((IF(A211="","",(VLOOKUP(Novedades!D211,datos!$A$1:$C$46,3,FALSE)))),E211)</f>
        <v/>
      </c>
    </row>
    <row r="212" spans="5:10" x14ac:dyDescent="0.25">
      <c r="E212" t="str">
        <f>IF(D212="","",(VLOOKUP(D212,datos!A:D,4,FALSE)))</f>
        <v/>
      </c>
      <c r="G212" s="4"/>
      <c r="I212" s="2"/>
      <c r="J212" s="2" t="str">
        <f>CONCATENATE((IF(A212="","",(VLOOKUP(Novedades!D212,datos!$A$1:$C$46,3,FALSE)))),E212)</f>
        <v/>
      </c>
    </row>
    <row r="213" spans="5:10" x14ac:dyDescent="0.25">
      <c r="E213" t="str">
        <f>IF(D213="","",(VLOOKUP(D213,datos!A:D,4,FALSE)))</f>
        <v/>
      </c>
      <c r="G213" s="4"/>
      <c r="I213" s="2"/>
      <c r="J213" s="2" t="str">
        <f>CONCATENATE((IF(A213="","",(VLOOKUP(Novedades!D213,datos!$A$1:$C$46,3,FALSE)))),E213)</f>
        <v/>
      </c>
    </row>
    <row r="214" spans="5:10" x14ac:dyDescent="0.25">
      <c r="E214" t="str">
        <f>IF(D214="","",(VLOOKUP(D214,datos!A:D,4,FALSE)))</f>
        <v/>
      </c>
      <c r="G214" s="4"/>
      <c r="I214" s="2"/>
      <c r="J214" s="2" t="str">
        <f>CONCATENATE((IF(A214="","",(VLOOKUP(Novedades!D214,datos!$A$1:$C$46,3,FALSE)))),E214)</f>
        <v/>
      </c>
    </row>
    <row r="215" spans="5:10" x14ac:dyDescent="0.25">
      <c r="E215" t="str">
        <f>IF(D215="","",(VLOOKUP(D215,datos!A:D,4,FALSE)))</f>
        <v/>
      </c>
      <c r="G215" s="4"/>
      <c r="I215" s="2"/>
      <c r="J215" s="2" t="str">
        <f>CONCATENATE((IF(A215="","",(VLOOKUP(Novedades!D215,datos!$A$1:$C$46,3,FALSE)))),E215)</f>
        <v/>
      </c>
    </row>
    <row r="216" spans="5:10" x14ac:dyDescent="0.25">
      <c r="E216" t="str">
        <f>IF(D216="","",(VLOOKUP(D216,datos!A:D,4,FALSE)))</f>
        <v/>
      </c>
      <c r="G216" s="4"/>
      <c r="I216" s="2"/>
      <c r="J216" s="2" t="str">
        <f>CONCATENATE((IF(A216="","",(VLOOKUP(Novedades!D216,datos!$A$1:$C$46,3,FALSE)))),E216)</f>
        <v/>
      </c>
    </row>
    <row r="217" spans="5:10" x14ac:dyDescent="0.25">
      <c r="E217" t="str">
        <f>IF(D217="","",(VLOOKUP(D217,datos!A:D,4,FALSE)))</f>
        <v/>
      </c>
      <c r="G217" s="4"/>
      <c r="I217" s="2"/>
      <c r="J217" s="2" t="str">
        <f>CONCATENATE((IF(A217="","",(VLOOKUP(Novedades!D217,datos!$A$1:$C$46,3,FALSE)))),E217)</f>
        <v/>
      </c>
    </row>
    <row r="218" spans="5:10" x14ac:dyDescent="0.25">
      <c r="E218" t="str">
        <f>IF(D218="","",(VLOOKUP(D218,datos!A:D,4,FALSE)))</f>
        <v/>
      </c>
      <c r="G218" s="4"/>
      <c r="I218" s="2"/>
      <c r="J218" s="2" t="str">
        <f>CONCATENATE((IF(A218="","",(VLOOKUP(Novedades!D218,datos!$A$1:$C$46,3,FALSE)))),E218)</f>
        <v/>
      </c>
    </row>
    <row r="219" spans="5:10" x14ac:dyDescent="0.25">
      <c r="E219" t="str">
        <f>IF(D219="","",(VLOOKUP(D219,datos!A:D,4,FALSE)))</f>
        <v/>
      </c>
      <c r="G219" s="4"/>
      <c r="I219" s="2"/>
      <c r="J219" s="2" t="str">
        <f>CONCATENATE((IF(A219="","",(VLOOKUP(Novedades!D219,datos!$A$1:$C$46,3,FALSE)))),E219)</f>
        <v/>
      </c>
    </row>
    <row r="220" spans="5:10" x14ac:dyDescent="0.25">
      <c r="E220" t="str">
        <f>IF(D220="","",(VLOOKUP(D220,datos!A:D,4,FALSE)))</f>
        <v/>
      </c>
      <c r="G220" s="4"/>
      <c r="I220" s="2"/>
      <c r="J220" s="2" t="str">
        <f>CONCATENATE((IF(A220="","",(VLOOKUP(Novedades!D220,datos!$A$1:$C$46,3,FALSE)))),E220)</f>
        <v/>
      </c>
    </row>
    <row r="221" spans="5:10" x14ac:dyDescent="0.25">
      <c r="E221" t="str">
        <f>IF(D221="","",(VLOOKUP(D221,datos!A:D,4,FALSE)))</f>
        <v/>
      </c>
      <c r="G221" s="4"/>
      <c r="I221" s="2"/>
      <c r="J221" s="2" t="str">
        <f>CONCATENATE((IF(A221="","",(VLOOKUP(Novedades!D221,datos!$A$1:$C$46,3,FALSE)))),E221)</f>
        <v/>
      </c>
    </row>
    <row r="222" spans="5:10" x14ac:dyDescent="0.25">
      <c r="E222" t="str">
        <f>IF(D222="","",(VLOOKUP(D222,datos!A:D,4,FALSE)))</f>
        <v/>
      </c>
      <c r="G222" s="4"/>
      <c r="I222" s="2"/>
      <c r="J222" s="2" t="str">
        <f>CONCATENATE((IF(A222="","",(VLOOKUP(Novedades!D222,datos!$A$1:$C$46,3,FALSE)))),E222)</f>
        <v/>
      </c>
    </row>
    <row r="223" spans="5:10" x14ac:dyDescent="0.25">
      <c r="E223" t="str">
        <f>IF(D223="","",(VLOOKUP(D223,datos!A:D,4,FALSE)))</f>
        <v/>
      </c>
      <c r="G223" s="4"/>
      <c r="I223" s="2"/>
      <c r="J223" s="2" t="str">
        <f>CONCATENATE((IF(A223="","",(VLOOKUP(Novedades!D223,datos!$A$1:$C$46,3,FALSE)))),E223)</f>
        <v/>
      </c>
    </row>
    <row r="224" spans="5:10" x14ac:dyDescent="0.25">
      <c r="E224" t="str">
        <f>IF(D224="","",(VLOOKUP(D224,datos!A:D,4,FALSE)))</f>
        <v/>
      </c>
      <c r="G224" s="4"/>
      <c r="I224" s="2"/>
      <c r="J224" s="2" t="str">
        <f>CONCATENATE((IF(A224="","",(VLOOKUP(Novedades!D224,datos!$A$1:$C$46,3,FALSE)))),E224)</f>
        <v/>
      </c>
    </row>
    <row r="225" spans="5:10" x14ac:dyDescent="0.25">
      <c r="E225" t="str">
        <f>IF(D225="","",(VLOOKUP(D225,datos!A:D,4,FALSE)))</f>
        <v/>
      </c>
      <c r="G225" s="4"/>
      <c r="I225" s="2"/>
      <c r="J225" s="2" t="str">
        <f>CONCATENATE((IF(A225="","",(VLOOKUP(Novedades!D225,datos!$A$1:$C$46,3,FALSE)))),E225)</f>
        <v/>
      </c>
    </row>
    <row r="226" spans="5:10" x14ac:dyDescent="0.25">
      <c r="E226" t="str">
        <f>IF(D226="","",(VLOOKUP(D226,datos!A:D,4,FALSE)))</f>
        <v/>
      </c>
      <c r="G226" s="4"/>
      <c r="I226" s="2"/>
      <c r="J226" s="2" t="str">
        <f>CONCATENATE((IF(A226="","",(VLOOKUP(Novedades!D226,datos!$A$1:$C$46,3,FALSE)))),E226)</f>
        <v/>
      </c>
    </row>
    <row r="227" spans="5:10" x14ac:dyDescent="0.25">
      <c r="E227" t="str">
        <f>IF(D227="","",(VLOOKUP(D227,datos!A:D,4,FALSE)))</f>
        <v/>
      </c>
      <c r="G227" s="4"/>
      <c r="I227" s="2"/>
      <c r="J227" s="2" t="str">
        <f>CONCATENATE((IF(A227="","",(VLOOKUP(Novedades!D227,datos!$A$1:$C$46,3,FALSE)))),E227)</f>
        <v/>
      </c>
    </row>
    <row r="228" spans="5:10" x14ac:dyDescent="0.25">
      <c r="E228" t="str">
        <f>IF(D228="","",(VLOOKUP(D228,datos!A:D,4,FALSE)))</f>
        <v/>
      </c>
      <c r="G228" s="4"/>
      <c r="I228" s="2"/>
      <c r="J228" s="2" t="str">
        <f>CONCATENATE((IF(A228="","",(VLOOKUP(Novedades!D228,datos!$A$1:$C$46,3,FALSE)))),E228)</f>
        <v/>
      </c>
    </row>
    <row r="229" spans="5:10" x14ac:dyDescent="0.25">
      <c r="E229" t="str">
        <f>IF(D229="","",(VLOOKUP(D229,datos!A:D,4,FALSE)))</f>
        <v/>
      </c>
      <c r="G229" s="4"/>
      <c r="I229" s="2"/>
      <c r="J229" s="2" t="str">
        <f>CONCATENATE((IF(A229="","",(VLOOKUP(Novedades!D229,datos!$A$1:$C$46,3,FALSE)))),E229)</f>
        <v/>
      </c>
    </row>
    <row r="230" spans="5:10" x14ac:dyDescent="0.25">
      <c r="E230" t="str">
        <f>IF(D230="","",(VLOOKUP(D230,datos!A:D,4,FALSE)))</f>
        <v/>
      </c>
      <c r="G230" s="4"/>
      <c r="I230" s="2"/>
      <c r="J230" s="2" t="str">
        <f>CONCATENATE((IF(A230="","",(VLOOKUP(Novedades!D230,datos!$A$1:$C$46,3,FALSE)))),E230)</f>
        <v/>
      </c>
    </row>
    <row r="231" spans="5:10" x14ac:dyDescent="0.25">
      <c r="E231" t="str">
        <f>IF(D231="","",(VLOOKUP(D231,datos!A:D,4,FALSE)))</f>
        <v/>
      </c>
      <c r="G231" s="4"/>
      <c r="I231" s="2"/>
      <c r="J231" s="2" t="str">
        <f>CONCATENATE((IF(A231="","",(VLOOKUP(Novedades!D231,datos!$A$1:$C$46,3,FALSE)))),E231)</f>
        <v/>
      </c>
    </row>
    <row r="232" spans="5:10" x14ac:dyDescent="0.25">
      <c r="E232" t="str">
        <f>IF(D232="","",(VLOOKUP(D232,datos!A:D,4,FALSE)))</f>
        <v/>
      </c>
      <c r="G232" s="4"/>
      <c r="I232" s="2"/>
      <c r="J232" s="2" t="str">
        <f>CONCATENATE((IF(A232="","",(VLOOKUP(Novedades!D232,datos!$A$1:$C$46,3,FALSE)))),E232)</f>
        <v/>
      </c>
    </row>
    <row r="233" spans="5:10" x14ac:dyDescent="0.25">
      <c r="E233" t="str">
        <f>IF(D233="","",(VLOOKUP(D233,datos!A:D,4,FALSE)))</f>
        <v/>
      </c>
      <c r="G233" s="4"/>
      <c r="I233" s="2"/>
      <c r="J233" s="2" t="str">
        <f>CONCATENATE((IF(A233="","",(VLOOKUP(Novedades!D233,datos!$A$1:$C$46,3,FALSE)))),E233)</f>
        <v/>
      </c>
    </row>
    <row r="234" spans="5:10" x14ac:dyDescent="0.25">
      <c r="E234" t="str">
        <f>IF(D234="","",(VLOOKUP(D234,datos!A:D,4,FALSE)))</f>
        <v/>
      </c>
      <c r="G234" s="4"/>
      <c r="I234" s="2"/>
      <c r="J234" s="2" t="str">
        <f>CONCATENATE((IF(A234="","",(VLOOKUP(Novedades!D234,datos!$A$1:$C$46,3,FALSE)))),E234)</f>
        <v/>
      </c>
    </row>
    <row r="235" spans="5:10" x14ac:dyDescent="0.25">
      <c r="E235" t="str">
        <f>IF(D235="","",(VLOOKUP(D235,datos!A:D,4,FALSE)))</f>
        <v/>
      </c>
      <c r="G235" s="4"/>
      <c r="I235" s="2"/>
      <c r="J235" s="2" t="str">
        <f>CONCATENATE((IF(A235="","",(VLOOKUP(Novedades!D235,datos!$A$1:$C$46,3,FALSE)))),E235)</f>
        <v/>
      </c>
    </row>
    <row r="236" spans="5:10" x14ac:dyDescent="0.25">
      <c r="E236" t="str">
        <f>IF(D236="","",(VLOOKUP(D236,datos!A:D,4,FALSE)))</f>
        <v/>
      </c>
      <c r="G236" s="4"/>
      <c r="I236" s="2"/>
      <c r="J236" s="2" t="str">
        <f>CONCATENATE((IF(A236="","",(VLOOKUP(Novedades!D236,datos!$A$1:$C$46,3,FALSE)))),E236)</f>
        <v/>
      </c>
    </row>
    <row r="237" spans="5:10" x14ac:dyDescent="0.25">
      <c r="E237" t="str">
        <f>IF(D237="","",(VLOOKUP(D237,datos!A:D,4,FALSE)))</f>
        <v/>
      </c>
      <c r="G237" s="4"/>
      <c r="I237" s="2"/>
      <c r="J237" s="2" t="str">
        <f>CONCATENATE((IF(A237="","",(VLOOKUP(Novedades!D237,datos!$A$1:$C$46,3,FALSE)))),E237)</f>
        <v/>
      </c>
    </row>
    <row r="238" spans="5:10" x14ac:dyDescent="0.25">
      <c r="E238" t="str">
        <f>IF(D238="","",(VLOOKUP(D238,datos!A:D,4,FALSE)))</f>
        <v/>
      </c>
      <c r="G238" s="4"/>
      <c r="I238" s="2"/>
      <c r="J238" s="2" t="str">
        <f>CONCATENATE((IF(A238="","",(VLOOKUP(Novedades!D238,datos!$A$1:$C$46,3,FALSE)))),E238)</f>
        <v/>
      </c>
    </row>
    <row r="239" spans="5:10" x14ac:dyDescent="0.25">
      <c r="E239" t="str">
        <f>IF(D239="","",(VLOOKUP(D239,datos!A:D,4,FALSE)))</f>
        <v/>
      </c>
      <c r="G239" s="4"/>
      <c r="I239" s="2"/>
      <c r="J239" s="2" t="str">
        <f>CONCATENATE((IF(A239="","",(VLOOKUP(Novedades!D239,datos!$A$1:$C$46,3,FALSE)))),E239)</f>
        <v/>
      </c>
    </row>
    <row r="240" spans="5:10" x14ac:dyDescent="0.25">
      <c r="E240" t="str">
        <f>IF(D240="","",(VLOOKUP(D240,datos!A:D,4,FALSE)))</f>
        <v/>
      </c>
      <c r="G240" s="4"/>
      <c r="I240" s="2"/>
      <c r="J240" s="2" t="str">
        <f>CONCATENATE((IF(A240="","",(VLOOKUP(Novedades!D240,datos!$A$1:$C$46,3,FALSE)))),E240)</f>
        <v/>
      </c>
    </row>
    <row r="241" spans="5:10" x14ac:dyDescent="0.25">
      <c r="E241" t="str">
        <f>IF(D241="","",(VLOOKUP(D241,datos!A:D,4,FALSE)))</f>
        <v/>
      </c>
      <c r="G241" s="4"/>
      <c r="I241" s="2"/>
      <c r="J241" s="2" t="str">
        <f>CONCATENATE((IF(A241="","",(VLOOKUP(Novedades!D241,datos!$A$1:$C$46,3,FALSE)))),E241)</f>
        <v/>
      </c>
    </row>
    <row r="242" spans="5:10" x14ac:dyDescent="0.25">
      <c r="E242" t="str">
        <f>IF(D242="","",(VLOOKUP(D242,datos!A:D,4,FALSE)))</f>
        <v/>
      </c>
      <c r="G242" s="4"/>
      <c r="I242" s="2"/>
      <c r="J242" s="2" t="str">
        <f>CONCATENATE((IF(A242="","",(VLOOKUP(Novedades!D242,datos!$A$1:$C$46,3,FALSE)))),E242)</f>
        <v/>
      </c>
    </row>
    <row r="243" spans="5:10" x14ac:dyDescent="0.25">
      <c r="E243" t="str">
        <f>IF(D243="","",(VLOOKUP(D243,datos!A:D,4,FALSE)))</f>
        <v/>
      </c>
      <c r="G243" s="4"/>
      <c r="I243" s="2"/>
      <c r="J243" s="2" t="str">
        <f>CONCATENATE((IF(A243="","",(VLOOKUP(Novedades!D243,datos!$A$1:$C$46,3,FALSE)))),E243)</f>
        <v/>
      </c>
    </row>
    <row r="244" spans="5:10" x14ac:dyDescent="0.25">
      <c r="E244" t="str">
        <f>IF(D244="","",(VLOOKUP(D244,datos!A:D,4,FALSE)))</f>
        <v/>
      </c>
      <c r="G244" s="4"/>
      <c r="I244" s="2"/>
      <c r="J244" s="2" t="str">
        <f>CONCATENATE((IF(A244="","",(VLOOKUP(Novedades!D244,datos!$A$1:$C$46,3,FALSE)))),E244)</f>
        <v/>
      </c>
    </row>
    <row r="245" spans="5:10" x14ac:dyDescent="0.25">
      <c r="E245" t="str">
        <f>IF(D245="","",(VLOOKUP(D245,datos!A:D,4,FALSE)))</f>
        <v/>
      </c>
      <c r="G245" s="4"/>
      <c r="I245" s="2"/>
      <c r="J245" s="2" t="str">
        <f>CONCATENATE((IF(A245="","",(VLOOKUP(Novedades!D245,datos!$A$1:$C$46,3,FALSE)))),E245)</f>
        <v/>
      </c>
    </row>
    <row r="246" spans="5:10" x14ac:dyDescent="0.25">
      <c r="E246" t="str">
        <f>IF(D246="","",(VLOOKUP(D246,datos!A:D,4,FALSE)))</f>
        <v/>
      </c>
      <c r="G246" s="4"/>
      <c r="I246" s="2"/>
      <c r="J246" s="2" t="str">
        <f>CONCATENATE((IF(A246="","",(VLOOKUP(Novedades!D246,datos!$A$1:$C$46,3,FALSE)))),E246)</f>
        <v/>
      </c>
    </row>
    <row r="247" spans="5:10" x14ac:dyDescent="0.25">
      <c r="E247" t="str">
        <f>IF(D247="","",(VLOOKUP(D247,datos!A:D,4,FALSE)))</f>
        <v/>
      </c>
      <c r="G247" s="4"/>
      <c r="I247" s="2"/>
      <c r="J247" s="2" t="str">
        <f>CONCATENATE((IF(A247="","",(VLOOKUP(Novedades!D247,datos!$A$1:$C$46,3,FALSE)))),E247)</f>
        <v/>
      </c>
    </row>
    <row r="248" spans="5:10" x14ac:dyDescent="0.25">
      <c r="E248" t="str">
        <f>IF(D248="","",(VLOOKUP(D248,datos!A:D,4,FALSE)))</f>
        <v/>
      </c>
      <c r="G248" s="4"/>
      <c r="I248" s="2"/>
      <c r="J248" s="2" t="str">
        <f>CONCATENATE((IF(A248="","",(VLOOKUP(Novedades!D248,datos!$A$1:$C$46,3,FALSE)))),E248)</f>
        <v/>
      </c>
    </row>
    <row r="249" spans="5:10" x14ac:dyDescent="0.25">
      <c r="E249" t="str">
        <f>IF(D249="","",(VLOOKUP(D249,datos!A:D,4,FALSE)))</f>
        <v/>
      </c>
      <c r="G249" s="4"/>
      <c r="I249" s="2"/>
      <c r="J249" s="2" t="str">
        <f>CONCATENATE((IF(A249="","",(VLOOKUP(Novedades!D249,datos!$A$1:$C$46,3,FALSE)))),E249)</f>
        <v/>
      </c>
    </row>
    <row r="250" spans="5:10" x14ac:dyDescent="0.25">
      <c r="E250" t="str">
        <f>IF(D250="","",(VLOOKUP(D250,datos!A:D,4,FALSE)))</f>
        <v/>
      </c>
      <c r="G250" s="4"/>
      <c r="I250" s="2"/>
      <c r="J250" s="2" t="str">
        <f>CONCATENATE((IF(A250="","",(VLOOKUP(Novedades!D250,datos!$A$1:$C$46,3,FALSE)))),E250)</f>
        <v/>
      </c>
    </row>
    <row r="251" spans="5:10" x14ac:dyDescent="0.25">
      <c r="E251" t="str">
        <f>IF(D251="","",(VLOOKUP(D251,datos!A:D,4,FALSE)))</f>
        <v/>
      </c>
      <c r="G251" s="4"/>
      <c r="I251" s="2"/>
      <c r="J251" s="2" t="str">
        <f>CONCATENATE((IF(A251="","",(VLOOKUP(Novedades!D251,datos!$A$1:$C$46,3,FALSE)))),E251)</f>
        <v/>
      </c>
    </row>
    <row r="252" spans="5:10" x14ac:dyDescent="0.25">
      <c r="E252" t="str">
        <f>IF(D252="","",(VLOOKUP(D252,datos!A:D,4,FALSE)))</f>
        <v/>
      </c>
      <c r="G252" s="4"/>
      <c r="I252" s="2"/>
      <c r="J252" s="2" t="str">
        <f>CONCATENATE((IF(A252="","",(VLOOKUP(Novedades!D252,datos!$A$1:$C$46,3,FALSE)))),E252)</f>
        <v/>
      </c>
    </row>
    <row r="253" spans="5:10" x14ac:dyDescent="0.25">
      <c r="E253" t="str">
        <f>IF(D253="","",(VLOOKUP(D253,datos!A:D,4,FALSE)))</f>
        <v/>
      </c>
      <c r="G253" s="4"/>
      <c r="I253" s="2"/>
      <c r="J253" s="2" t="str">
        <f>CONCATENATE((IF(A253="","",(VLOOKUP(Novedades!D253,datos!$A$1:$C$46,3,FALSE)))),E253)</f>
        <v/>
      </c>
    </row>
    <row r="254" spans="5:10" x14ac:dyDescent="0.25">
      <c r="E254" t="str">
        <f>IF(D254="","",(VLOOKUP(D254,datos!A:D,4,FALSE)))</f>
        <v/>
      </c>
      <c r="G254" s="4"/>
      <c r="I254" s="2"/>
      <c r="J254" s="2" t="str">
        <f>CONCATENATE((IF(A254="","",(VLOOKUP(Novedades!D254,datos!$A$1:$C$46,3,FALSE)))),E254)</f>
        <v/>
      </c>
    </row>
    <row r="255" spans="5:10" x14ac:dyDescent="0.25">
      <c r="E255" t="str">
        <f>IF(D255="","",(VLOOKUP(D255,datos!A:D,4,FALSE)))</f>
        <v/>
      </c>
      <c r="G255" s="4"/>
      <c r="I255" s="2"/>
      <c r="J255" s="2" t="str">
        <f>CONCATENATE((IF(A255="","",(VLOOKUP(Novedades!D255,datos!$A$1:$C$46,3,FALSE)))),E255)</f>
        <v/>
      </c>
    </row>
    <row r="256" spans="5:10" x14ac:dyDescent="0.25">
      <c r="E256" t="str">
        <f>IF(D256="","",(VLOOKUP(D256,datos!A:D,4,FALSE)))</f>
        <v/>
      </c>
      <c r="G256" s="4"/>
      <c r="I256" s="2"/>
      <c r="J256" s="2" t="str">
        <f>CONCATENATE((IF(A256="","",(VLOOKUP(Novedades!D256,datos!$A$1:$C$46,3,FALSE)))),E256)</f>
        <v/>
      </c>
    </row>
    <row r="257" spans="5:10" x14ac:dyDescent="0.25">
      <c r="E257" t="str">
        <f>IF(D257="","",(VLOOKUP(D257,datos!A:D,4,FALSE)))</f>
        <v/>
      </c>
      <c r="G257" s="4"/>
      <c r="I257" s="2"/>
      <c r="J257" s="2" t="str">
        <f>CONCATENATE((IF(A257="","",(VLOOKUP(Novedades!D257,datos!$A$1:$C$46,3,FALSE)))),E257)</f>
        <v/>
      </c>
    </row>
    <row r="258" spans="5:10" x14ac:dyDescent="0.25">
      <c r="E258" t="str">
        <f>IF(D258="","",(VLOOKUP(D258,datos!A:D,4,FALSE)))</f>
        <v/>
      </c>
      <c r="G258" s="4"/>
      <c r="I258" s="2"/>
      <c r="J258" s="2" t="str">
        <f>CONCATENATE((IF(A258="","",(VLOOKUP(Novedades!D258,datos!$A$1:$C$46,3,FALSE)))),E258)</f>
        <v/>
      </c>
    </row>
    <row r="259" spans="5:10" x14ac:dyDescent="0.25">
      <c r="E259" t="str">
        <f>IF(D259="","",(VLOOKUP(D259,datos!A:D,4,FALSE)))</f>
        <v/>
      </c>
      <c r="G259" s="4"/>
      <c r="I259" s="2"/>
      <c r="J259" s="2" t="str">
        <f>CONCATENATE((IF(A259="","",(VLOOKUP(Novedades!D259,datos!$A$1:$C$46,3,FALSE)))),E259)</f>
        <v/>
      </c>
    </row>
    <row r="260" spans="5:10" x14ac:dyDescent="0.25">
      <c r="E260" t="str">
        <f>IF(D260="","",(VLOOKUP(D260,datos!A:D,4,FALSE)))</f>
        <v/>
      </c>
      <c r="G260" s="4"/>
      <c r="I260" s="2"/>
      <c r="J260" s="2" t="str">
        <f>CONCATENATE((IF(A260="","",(VLOOKUP(Novedades!D260,datos!$A$1:$C$46,3,FALSE)))),E260)</f>
        <v/>
      </c>
    </row>
    <row r="261" spans="5:10" x14ac:dyDescent="0.25">
      <c r="E261" t="str">
        <f>IF(D261="","",(VLOOKUP(D261,datos!A:D,4,FALSE)))</f>
        <v/>
      </c>
      <c r="G261" s="4"/>
      <c r="I261" s="2"/>
      <c r="J261" s="2" t="str">
        <f>CONCATENATE((IF(A261="","",(VLOOKUP(Novedades!D261,datos!$A$1:$C$46,3,FALSE)))),E261)</f>
        <v/>
      </c>
    </row>
    <row r="262" spans="5:10" x14ac:dyDescent="0.25">
      <c r="E262" t="str">
        <f>IF(D262="","",(VLOOKUP(D262,datos!A:D,4,FALSE)))</f>
        <v/>
      </c>
      <c r="G262" s="4"/>
      <c r="I262" s="2"/>
      <c r="J262" s="2" t="str">
        <f>CONCATENATE((IF(A262="","",(VLOOKUP(Novedades!D262,datos!$A$1:$C$46,3,FALSE)))),E262)</f>
        <v/>
      </c>
    </row>
    <row r="263" spans="5:10" x14ac:dyDescent="0.25">
      <c r="E263" t="str">
        <f>IF(D263="","",(VLOOKUP(D263,datos!A:D,4,FALSE)))</f>
        <v/>
      </c>
      <c r="G263" s="4"/>
      <c r="I263" s="2"/>
      <c r="J263" s="2" t="str">
        <f>CONCATENATE((IF(A263="","",(VLOOKUP(Novedades!D263,datos!$A$1:$C$46,3,FALSE)))),E263)</f>
        <v/>
      </c>
    </row>
    <row r="264" spans="5:10" x14ac:dyDescent="0.25">
      <c r="E264" t="str">
        <f>IF(D264="","",(VLOOKUP(D264,datos!A:D,4,FALSE)))</f>
        <v/>
      </c>
      <c r="G264" s="4"/>
      <c r="I264" s="2"/>
      <c r="J264" s="2" t="str">
        <f>CONCATENATE((IF(A264="","",(VLOOKUP(Novedades!D264,datos!$A$1:$C$46,3,FALSE)))),E264)</f>
        <v/>
      </c>
    </row>
    <row r="265" spans="5:10" x14ac:dyDescent="0.25">
      <c r="E265" t="str">
        <f>IF(D265="","",(VLOOKUP(D265,datos!A:D,4,FALSE)))</f>
        <v/>
      </c>
      <c r="G265" s="4"/>
      <c r="I265" s="2"/>
      <c r="J265" s="2" t="str">
        <f>CONCATENATE((IF(A265="","",(VLOOKUP(Novedades!D265,datos!$A$1:$C$46,3,FALSE)))),E265)</f>
        <v/>
      </c>
    </row>
    <row r="266" spans="5:10" x14ac:dyDescent="0.25">
      <c r="E266" t="str">
        <f>IF(D266="","",(VLOOKUP(D266,datos!A:D,4,FALSE)))</f>
        <v/>
      </c>
      <c r="G266" s="4"/>
      <c r="I266" s="2"/>
      <c r="J266" s="2" t="str">
        <f>CONCATENATE((IF(A266="","",(VLOOKUP(Novedades!D266,datos!$A$1:$C$46,3,FALSE)))),E266)</f>
        <v/>
      </c>
    </row>
    <row r="267" spans="5:10" x14ac:dyDescent="0.25">
      <c r="E267" t="str">
        <f>IF(D267="","",(VLOOKUP(D267,datos!A:D,4,FALSE)))</f>
        <v/>
      </c>
      <c r="G267" s="4"/>
      <c r="I267" s="2"/>
      <c r="J267" s="2" t="str">
        <f>CONCATENATE((IF(A267="","",(VLOOKUP(Novedades!D267,datos!$A$1:$C$46,3,FALSE)))),E267)</f>
        <v/>
      </c>
    </row>
    <row r="268" spans="5:10" x14ac:dyDescent="0.25">
      <c r="E268" t="str">
        <f>IF(D268="","",(VLOOKUP(D268,datos!A:D,4,FALSE)))</f>
        <v/>
      </c>
      <c r="G268" s="4"/>
      <c r="I268" s="2"/>
      <c r="J268" s="2" t="str">
        <f>CONCATENATE((IF(A268="","",(VLOOKUP(Novedades!D268,datos!$A$1:$C$46,3,FALSE)))),E268)</f>
        <v/>
      </c>
    </row>
    <row r="269" spans="5:10" x14ac:dyDescent="0.25">
      <c r="E269" t="str">
        <f>IF(D269="","",(VLOOKUP(D269,datos!A:D,4,FALSE)))</f>
        <v/>
      </c>
      <c r="G269" s="4"/>
      <c r="I269" s="2"/>
      <c r="J269" s="2" t="str">
        <f>CONCATENATE((IF(A269="","",(VLOOKUP(Novedades!D269,datos!$A$1:$C$46,3,FALSE)))),E269)</f>
        <v/>
      </c>
    </row>
    <row r="270" spans="5:10" x14ac:dyDescent="0.25">
      <c r="E270" t="str">
        <f>IF(D270="","",(VLOOKUP(D270,datos!A:D,4,FALSE)))</f>
        <v/>
      </c>
      <c r="G270" s="4"/>
      <c r="I270" s="2"/>
      <c r="J270" s="2" t="str">
        <f>CONCATENATE((IF(A270="","",(VLOOKUP(Novedades!D270,datos!$A$1:$C$46,3,FALSE)))),E270)</f>
        <v/>
      </c>
    </row>
    <row r="271" spans="5:10" x14ac:dyDescent="0.25">
      <c r="E271" t="str">
        <f>IF(D271="","",(VLOOKUP(D271,datos!A:D,4,FALSE)))</f>
        <v/>
      </c>
      <c r="G271" s="4"/>
      <c r="I271" s="2"/>
      <c r="J271" s="2" t="str">
        <f>CONCATENATE((IF(A271="","",(VLOOKUP(Novedades!D271,datos!$A$1:$C$46,3,FALSE)))),E271)</f>
        <v/>
      </c>
    </row>
    <row r="272" spans="5:10" x14ac:dyDescent="0.25">
      <c r="E272" t="str">
        <f>IF(D272="","",(VLOOKUP(D272,datos!A:D,4,FALSE)))</f>
        <v/>
      </c>
      <c r="G272" s="4"/>
      <c r="I272" s="2"/>
      <c r="J272" s="2" t="str">
        <f>CONCATENATE((IF(A272="","",(VLOOKUP(Novedades!D272,datos!$A$1:$C$46,3,FALSE)))),E272)</f>
        <v/>
      </c>
    </row>
    <row r="273" spans="5:10" x14ac:dyDescent="0.25">
      <c r="E273" t="str">
        <f>IF(D273="","",(VLOOKUP(D273,datos!A:D,4,FALSE)))</f>
        <v/>
      </c>
      <c r="G273" s="4"/>
      <c r="I273" s="2"/>
      <c r="J273" s="2" t="str">
        <f>CONCATENATE((IF(A273="","",(VLOOKUP(Novedades!D273,datos!$A$1:$C$46,3,FALSE)))),E273)</f>
        <v/>
      </c>
    </row>
    <row r="274" spans="5:10" x14ac:dyDescent="0.25">
      <c r="E274" t="str">
        <f>IF(D274="","",(VLOOKUP(D274,datos!A:D,4,FALSE)))</f>
        <v/>
      </c>
      <c r="G274" s="4"/>
      <c r="I274" s="2"/>
      <c r="J274" s="2" t="str">
        <f>CONCATENATE((IF(A274="","",(VLOOKUP(Novedades!D274,datos!$A$1:$C$46,3,FALSE)))),E274)</f>
        <v/>
      </c>
    </row>
    <row r="275" spans="5:10" x14ac:dyDescent="0.25">
      <c r="E275" t="str">
        <f>IF(D275="","",(VLOOKUP(D275,datos!A:D,4,FALSE)))</f>
        <v/>
      </c>
      <c r="G275" s="4"/>
      <c r="I275" s="2"/>
      <c r="J275" s="2" t="str">
        <f>CONCATENATE((IF(A275="","",(VLOOKUP(Novedades!D275,datos!$A$1:$C$46,3,FALSE)))),E275)</f>
        <v/>
      </c>
    </row>
    <row r="276" spans="5:10" x14ac:dyDescent="0.25">
      <c r="E276" t="str">
        <f>IF(D276="","",(VLOOKUP(D276,datos!A:D,4,FALSE)))</f>
        <v/>
      </c>
      <c r="G276" s="4"/>
      <c r="I276" s="2"/>
      <c r="J276" s="2" t="str">
        <f>CONCATENATE((IF(A276="","",(VLOOKUP(Novedades!D276,datos!$A$1:$C$46,3,FALSE)))),E276)</f>
        <v/>
      </c>
    </row>
    <row r="277" spans="5:10" x14ac:dyDescent="0.25">
      <c r="E277" t="str">
        <f>IF(D277="","",(VLOOKUP(D277,datos!A:D,4,FALSE)))</f>
        <v/>
      </c>
      <c r="G277" s="4"/>
      <c r="I277" s="2"/>
      <c r="J277" s="2" t="str">
        <f>CONCATENATE((IF(A277="","",(VLOOKUP(Novedades!D277,datos!$A$1:$C$46,3,FALSE)))),E277)</f>
        <v/>
      </c>
    </row>
    <row r="278" spans="5:10" x14ac:dyDescent="0.25">
      <c r="E278" t="str">
        <f>IF(D278="","",(VLOOKUP(D278,datos!A:D,4,FALSE)))</f>
        <v/>
      </c>
      <c r="G278" s="4"/>
      <c r="I278" s="2"/>
      <c r="J278" s="2" t="str">
        <f>CONCATENATE((IF(A278="","",(VLOOKUP(Novedades!D278,datos!$A$1:$C$46,3,FALSE)))),E278)</f>
        <v/>
      </c>
    </row>
    <row r="279" spans="5:10" x14ac:dyDescent="0.25">
      <c r="E279" t="str">
        <f>IF(D279="","",(VLOOKUP(D279,datos!A:D,4,FALSE)))</f>
        <v/>
      </c>
      <c r="G279" s="4"/>
      <c r="I279" s="2"/>
      <c r="J279" s="2" t="str">
        <f>CONCATENATE((IF(A279="","",(VLOOKUP(Novedades!D279,datos!$A$1:$C$46,3,FALSE)))),E279)</f>
        <v/>
      </c>
    </row>
    <row r="280" spans="5:10" x14ac:dyDescent="0.25">
      <c r="E280" t="str">
        <f>IF(D280="","",(VLOOKUP(D280,datos!A:D,4,FALSE)))</f>
        <v/>
      </c>
      <c r="G280" s="4"/>
      <c r="I280" s="2"/>
      <c r="J280" s="2" t="str">
        <f>CONCATENATE((IF(A280="","",(VLOOKUP(Novedades!D280,datos!$A$1:$C$46,3,FALSE)))),E280)</f>
        <v/>
      </c>
    </row>
    <row r="281" spans="5:10" x14ac:dyDescent="0.25">
      <c r="E281" t="str">
        <f>IF(D281="","",(VLOOKUP(D281,datos!A:D,4,FALSE)))</f>
        <v/>
      </c>
      <c r="G281" s="4"/>
      <c r="I281" s="2"/>
      <c r="J281" s="2" t="str">
        <f>CONCATENATE((IF(A281="","",(VLOOKUP(Novedades!D281,datos!$A$1:$C$46,3,FALSE)))),E281)</f>
        <v/>
      </c>
    </row>
    <row r="282" spans="5:10" x14ac:dyDescent="0.25">
      <c r="E282" t="str">
        <f>IF(D282="","",(VLOOKUP(D282,datos!A:D,4,FALSE)))</f>
        <v/>
      </c>
      <c r="G282" s="4"/>
      <c r="I282" s="2"/>
      <c r="J282" s="2" t="str">
        <f>CONCATENATE((IF(A282="","",(VLOOKUP(Novedades!D282,datos!$A$1:$C$46,3,FALSE)))),E282)</f>
        <v/>
      </c>
    </row>
    <row r="283" spans="5:10" x14ac:dyDescent="0.25">
      <c r="E283" t="str">
        <f>IF(D283="","",(VLOOKUP(D283,datos!A:D,4,FALSE)))</f>
        <v/>
      </c>
      <c r="G283" s="4"/>
      <c r="I283" s="2"/>
      <c r="J283" s="2" t="str">
        <f>CONCATENATE((IF(A283="","",(VLOOKUP(Novedades!D283,datos!$A$1:$C$46,3,FALSE)))),E283)</f>
        <v/>
      </c>
    </row>
    <row r="284" spans="5:10" x14ac:dyDescent="0.25">
      <c r="E284" t="str">
        <f>IF(D284="","",(VLOOKUP(D284,datos!A:D,4,FALSE)))</f>
        <v/>
      </c>
      <c r="G284" s="4"/>
      <c r="I284" s="2"/>
      <c r="J284" s="2" t="str">
        <f>CONCATENATE((IF(A284="","",(VLOOKUP(Novedades!D284,datos!$A$1:$C$46,3,FALSE)))),E284)</f>
        <v/>
      </c>
    </row>
    <row r="285" spans="5:10" x14ac:dyDescent="0.25">
      <c r="E285" t="str">
        <f>IF(D285="","",(VLOOKUP(D285,datos!A:D,4,FALSE)))</f>
        <v/>
      </c>
      <c r="G285" s="4"/>
      <c r="I285" s="2"/>
      <c r="J285" s="2" t="str">
        <f>CONCATENATE((IF(A285="","",(VLOOKUP(Novedades!D285,datos!$A$1:$C$46,3,FALSE)))),E285)</f>
        <v/>
      </c>
    </row>
    <row r="286" spans="5:10" x14ac:dyDescent="0.25">
      <c r="E286" t="str">
        <f>IF(D286="","",(VLOOKUP(D286,datos!A:D,4,FALSE)))</f>
        <v/>
      </c>
      <c r="G286" s="4"/>
      <c r="I286" s="2"/>
      <c r="J286" s="2" t="str">
        <f>CONCATENATE((IF(A286="","",(VLOOKUP(Novedades!D286,datos!$A$1:$C$46,3,FALSE)))),E286)</f>
        <v/>
      </c>
    </row>
    <row r="287" spans="5:10" x14ac:dyDescent="0.25">
      <c r="E287" t="str">
        <f>IF(D287="","",(VLOOKUP(D287,datos!A:D,4,FALSE)))</f>
        <v/>
      </c>
      <c r="G287" s="4"/>
      <c r="I287" s="2"/>
      <c r="J287" s="2" t="str">
        <f>CONCATENATE((IF(A287="","",(VLOOKUP(Novedades!D287,datos!$A$1:$C$46,3,FALSE)))),E287)</f>
        <v/>
      </c>
    </row>
    <row r="288" spans="5:10" x14ac:dyDescent="0.25">
      <c r="E288" t="str">
        <f>IF(D288="","",(VLOOKUP(D288,datos!A:D,4,FALSE)))</f>
        <v/>
      </c>
      <c r="G288" s="4"/>
      <c r="I288" s="2"/>
      <c r="J288" s="2" t="str">
        <f>CONCATENATE((IF(A288="","",(VLOOKUP(Novedades!D288,datos!$A$1:$C$46,3,FALSE)))),E288)</f>
        <v/>
      </c>
    </row>
    <row r="289" spans="5:10" x14ac:dyDescent="0.25">
      <c r="E289" t="str">
        <f>IF(D289="","",(VLOOKUP(D289,datos!A:D,4,FALSE)))</f>
        <v/>
      </c>
      <c r="G289" s="4"/>
      <c r="I289" s="2"/>
      <c r="J289" s="2" t="str">
        <f>CONCATENATE((IF(A289="","",(VLOOKUP(Novedades!D289,datos!$A$1:$C$46,3,FALSE)))),E289)</f>
        <v/>
      </c>
    </row>
    <row r="290" spans="5:10" x14ac:dyDescent="0.25">
      <c r="E290" t="str">
        <f>IF(D290="","",(VLOOKUP(D290,datos!A:D,4,FALSE)))</f>
        <v/>
      </c>
      <c r="G290" s="4"/>
      <c r="I290" s="2"/>
      <c r="J290" s="2" t="str">
        <f>CONCATENATE((IF(A290="","",(VLOOKUP(Novedades!D290,datos!$A$1:$C$46,3,FALSE)))),E290)</f>
        <v/>
      </c>
    </row>
    <row r="291" spans="5:10" x14ac:dyDescent="0.25">
      <c r="E291" t="str">
        <f>IF(D291="","",(VLOOKUP(D291,datos!A:D,4,FALSE)))</f>
        <v/>
      </c>
      <c r="G291" s="4"/>
      <c r="I291" s="2"/>
      <c r="J291" s="2" t="str">
        <f>CONCATENATE((IF(A291="","",(VLOOKUP(Novedades!D291,datos!$A$1:$C$46,3,FALSE)))),E291)</f>
        <v/>
      </c>
    </row>
    <row r="292" spans="5:10" x14ac:dyDescent="0.25">
      <c r="E292" t="str">
        <f>IF(D292="","",(VLOOKUP(D292,datos!A:D,4,FALSE)))</f>
        <v/>
      </c>
      <c r="G292" s="4"/>
      <c r="I292" s="2"/>
      <c r="J292" s="2" t="str">
        <f>CONCATENATE((IF(A292="","",(VLOOKUP(Novedades!D292,datos!$A$1:$C$46,3,FALSE)))),E292)</f>
        <v/>
      </c>
    </row>
    <row r="293" spans="5:10" x14ac:dyDescent="0.25">
      <c r="E293" t="str">
        <f>IF(D293="","",(VLOOKUP(D293,datos!A:D,4,FALSE)))</f>
        <v/>
      </c>
      <c r="G293" s="4"/>
      <c r="I293" s="2"/>
      <c r="J293" s="2" t="str">
        <f>CONCATENATE((IF(A293="","",(VLOOKUP(Novedades!D293,datos!$A$1:$C$46,3,FALSE)))),E293)</f>
        <v/>
      </c>
    </row>
    <row r="294" spans="5:10" x14ac:dyDescent="0.25">
      <c r="E294" t="str">
        <f>IF(D294="","",(VLOOKUP(D294,datos!A:D,4,FALSE)))</f>
        <v/>
      </c>
      <c r="G294" s="4"/>
      <c r="I294" s="2"/>
      <c r="J294" s="2" t="str">
        <f>CONCATENATE((IF(A294="","",(VLOOKUP(Novedades!D294,datos!$A$1:$C$46,3,FALSE)))),E294)</f>
        <v/>
      </c>
    </row>
    <row r="295" spans="5:10" x14ac:dyDescent="0.25">
      <c r="E295" t="str">
        <f>IF(D295="","",(VLOOKUP(D295,datos!A:D,4,FALSE)))</f>
        <v/>
      </c>
      <c r="G295" s="4"/>
      <c r="I295" s="2"/>
      <c r="J295" s="2" t="str">
        <f>CONCATENATE((IF(A295="","",(VLOOKUP(Novedades!D295,datos!$A$1:$C$46,3,FALSE)))),E295)</f>
        <v/>
      </c>
    </row>
    <row r="296" spans="5:10" x14ac:dyDescent="0.25">
      <c r="E296" t="str">
        <f>IF(D296="","",(VLOOKUP(D296,datos!A:D,4,FALSE)))</f>
        <v/>
      </c>
      <c r="G296" s="4"/>
      <c r="I296" s="2"/>
      <c r="J296" s="2" t="str">
        <f>CONCATENATE((IF(A296="","",(VLOOKUP(Novedades!D296,datos!$A$1:$C$46,3,FALSE)))),E296)</f>
        <v/>
      </c>
    </row>
    <row r="297" spans="5:10" x14ac:dyDescent="0.25">
      <c r="E297" t="str">
        <f>IF(D297="","",(VLOOKUP(D297,datos!A:D,4,FALSE)))</f>
        <v/>
      </c>
      <c r="G297" s="4"/>
      <c r="I297" s="2"/>
      <c r="J297" s="2" t="str">
        <f>CONCATENATE((IF(A297="","",(VLOOKUP(Novedades!D297,datos!$A$1:$C$46,3,FALSE)))),E297)</f>
        <v/>
      </c>
    </row>
    <row r="298" spans="5:10" x14ac:dyDescent="0.25">
      <c r="E298" t="str">
        <f>IF(D298="","",(VLOOKUP(D298,datos!A:D,4,FALSE)))</f>
        <v/>
      </c>
      <c r="G298" s="4"/>
      <c r="I298" s="2"/>
      <c r="J298" s="2" t="str">
        <f>CONCATENATE((IF(A298="","",(VLOOKUP(Novedades!D298,datos!$A$1:$C$46,3,FALSE)))),E298)</f>
        <v/>
      </c>
    </row>
    <row r="299" spans="5:10" x14ac:dyDescent="0.25">
      <c r="E299" t="str">
        <f>IF(D299="","",(VLOOKUP(D299,datos!A:D,4,FALSE)))</f>
        <v/>
      </c>
      <c r="G299" s="4"/>
      <c r="I299" s="2"/>
      <c r="J299" s="2" t="str">
        <f>CONCATENATE((IF(A299="","",(VLOOKUP(Novedades!D299,datos!$A$1:$C$46,3,FALSE)))),E299)</f>
        <v/>
      </c>
    </row>
    <row r="300" spans="5:10" x14ac:dyDescent="0.25">
      <c r="E300" t="str">
        <f>IF(D300="","",(VLOOKUP(D300,datos!A:D,4,FALSE)))</f>
        <v/>
      </c>
      <c r="G300" s="4"/>
      <c r="I300" s="2"/>
      <c r="J300" s="2" t="str">
        <f>CONCATENATE((IF(A300="","",(VLOOKUP(Novedades!D300,datos!$A$1:$C$46,3,FALSE)))),E300)</f>
        <v/>
      </c>
    </row>
    <row r="301" spans="5:10" x14ac:dyDescent="0.25">
      <c r="E301" t="str">
        <f>IF(D301="","",(VLOOKUP(D301,datos!A:D,4,FALSE)))</f>
        <v/>
      </c>
      <c r="G301" s="4"/>
      <c r="I301" s="2"/>
      <c r="J301" s="2" t="str">
        <f>CONCATENATE((IF(A301="","",(VLOOKUP(Novedades!D301,datos!$A$1:$C$46,3,FALSE)))),E301)</f>
        <v/>
      </c>
    </row>
    <row r="302" spans="5:10" x14ac:dyDescent="0.25">
      <c r="E302" t="str">
        <f>IF(D302="","",(VLOOKUP(D302,datos!A:D,4,FALSE)))</f>
        <v/>
      </c>
      <c r="G302" s="4"/>
      <c r="I302" s="2"/>
      <c r="J302" s="2" t="str">
        <f>CONCATENATE((IF(A302="","",(VLOOKUP(Novedades!D302,datos!$A$1:$C$46,3,FALSE)))),E302)</f>
        <v/>
      </c>
    </row>
    <row r="303" spans="5:10" x14ac:dyDescent="0.25">
      <c r="E303" t="str">
        <f>IF(D303="","",(VLOOKUP(D303,datos!A:D,4,FALSE)))</f>
        <v/>
      </c>
      <c r="G303" s="4"/>
      <c r="I303" s="2"/>
      <c r="J303" s="2" t="str">
        <f>CONCATENATE((IF(A303="","",(VLOOKUP(Novedades!D303,datos!$A$1:$C$46,3,FALSE)))),E303)</f>
        <v/>
      </c>
    </row>
    <row r="304" spans="5:10" x14ac:dyDescent="0.25">
      <c r="E304" t="str">
        <f>IF(D304="","",(VLOOKUP(D304,datos!A:D,4,FALSE)))</f>
        <v/>
      </c>
      <c r="G304" s="4"/>
      <c r="I304" s="2"/>
      <c r="J304" s="2" t="str">
        <f>CONCATENATE((IF(A304="","",(VLOOKUP(Novedades!D304,datos!$A$1:$C$46,3,FALSE)))),E304)</f>
        <v/>
      </c>
    </row>
    <row r="305" spans="5:10" x14ac:dyDescent="0.25">
      <c r="E305" t="str">
        <f>IF(D305="","",(VLOOKUP(D305,datos!A:D,4,FALSE)))</f>
        <v/>
      </c>
      <c r="G305" s="4"/>
      <c r="I305" s="2"/>
      <c r="J305" s="2" t="str">
        <f>CONCATENATE((IF(A305="","",(VLOOKUP(Novedades!D305,datos!$A$1:$C$46,3,FALSE)))),E305)</f>
        <v/>
      </c>
    </row>
    <row r="306" spans="5:10" x14ac:dyDescent="0.25">
      <c r="E306" t="str">
        <f>IF(D306="","",(VLOOKUP(D306,datos!A:D,4,FALSE)))</f>
        <v/>
      </c>
      <c r="G306" s="4"/>
      <c r="I306" s="2"/>
      <c r="J306" s="2" t="str">
        <f>CONCATENATE((IF(A306="","",(VLOOKUP(Novedades!D306,datos!$A$1:$C$46,3,FALSE)))),E306)</f>
        <v/>
      </c>
    </row>
    <row r="307" spans="5:10" x14ac:dyDescent="0.25">
      <c r="E307" t="str">
        <f>IF(D307="","",(VLOOKUP(D307,datos!A:D,4,FALSE)))</f>
        <v/>
      </c>
      <c r="G307" s="4"/>
      <c r="I307" s="2"/>
      <c r="J307" s="2" t="str">
        <f>CONCATENATE((IF(A307="","",(VLOOKUP(Novedades!D307,datos!$A$1:$C$46,3,FALSE)))),E307)</f>
        <v/>
      </c>
    </row>
    <row r="308" spans="5:10" x14ac:dyDescent="0.25">
      <c r="E308" t="str">
        <f>IF(D308="","",(VLOOKUP(D308,datos!A:D,4,FALSE)))</f>
        <v/>
      </c>
      <c r="G308" s="4"/>
      <c r="I308" s="2"/>
      <c r="J308" s="2" t="str">
        <f>CONCATENATE((IF(A308="","",(VLOOKUP(Novedades!D308,datos!$A$1:$C$46,3,FALSE)))),E308)</f>
        <v/>
      </c>
    </row>
    <row r="309" spans="5:10" x14ac:dyDescent="0.25">
      <c r="E309" t="str">
        <f>IF(D309="","",(VLOOKUP(D309,datos!A:D,4,FALSE)))</f>
        <v/>
      </c>
      <c r="G309" s="4"/>
      <c r="I309" s="2"/>
      <c r="J309" s="2" t="str">
        <f>CONCATENATE((IF(A309="","",(VLOOKUP(Novedades!D309,datos!$A$1:$C$46,3,FALSE)))),E309)</f>
        <v/>
      </c>
    </row>
    <row r="310" spans="5:10" x14ac:dyDescent="0.25">
      <c r="E310" t="str">
        <f>IF(D310="","",(VLOOKUP(D310,datos!A:D,4,FALSE)))</f>
        <v/>
      </c>
      <c r="G310" s="4"/>
      <c r="I310" s="2"/>
      <c r="J310" s="2" t="str">
        <f>CONCATENATE((IF(A310="","",(VLOOKUP(Novedades!D310,datos!$A$1:$C$46,3,FALSE)))),E310)</f>
        <v/>
      </c>
    </row>
    <row r="311" spans="5:10" x14ac:dyDescent="0.25">
      <c r="E311" t="str">
        <f>IF(D311="","",(VLOOKUP(D311,datos!A:D,4,FALSE)))</f>
        <v/>
      </c>
      <c r="G311" s="4"/>
      <c r="I311" s="2"/>
      <c r="J311" s="2" t="str">
        <f>CONCATENATE((IF(A311="","",(VLOOKUP(Novedades!D311,datos!$A$1:$C$46,3,FALSE)))),E311)</f>
        <v/>
      </c>
    </row>
    <row r="312" spans="5:10" x14ac:dyDescent="0.25">
      <c r="E312" t="str">
        <f>IF(D312="","",(VLOOKUP(D312,datos!A:D,4,FALSE)))</f>
        <v/>
      </c>
      <c r="G312" s="4"/>
      <c r="I312" s="2"/>
      <c r="J312" s="2" t="str">
        <f>CONCATENATE((IF(A312="","",(VLOOKUP(Novedades!D312,datos!$A$1:$C$46,3,FALSE)))),E312)</f>
        <v/>
      </c>
    </row>
    <row r="313" spans="5:10" x14ac:dyDescent="0.25">
      <c r="E313" t="str">
        <f>IF(D313="","",(VLOOKUP(D313,datos!A:D,4,FALSE)))</f>
        <v/>
      </c>
      <c r="G313" s="4"/>
      <c r="I313" s="2"/>
      <c r="J313" s="2" t="str">
        <f>CONCATENATE((IF(A313="","",(VLOOKUP(Novedades!D313,datos!$A$1:$C$46,3,FALSE)))),E313)</f>
        <v/>
      </c>
    </row>
    <row r="314" spans="5:10" x14ac:dyDescent="0.25">
      <c r="E314" t="str">
        <f>IF(D314="","",(VLOOKUP(D314,datos!A:D,4,FALSE)))</f>
        <v/>
      </c>
      <c r="G314" s="4"/>
      <c r="I314" s="2"/>
      <c r="J314" s="2" t="str">
        <f>CONCATENATE((IF(A314="","",(VLOOKUP(Novedades!D314,datos!$A$1:$C$46,3,FALSE)))),E314)</f>
        <v/>
      </c>
    </row>
    <row r="315" spans="5:10" x14ac:dyDescent="0.25">
      <c r="E315" t="str">
        <f>IF(D315="","",(VLOOKUP(D315,datos!A:D,4,FALSE)))</f>
        <v/>
      </c>
      <c r="G315" s="4"/>
      <c r="I315" s="2"/>
      <c r="J315" s="2" t="str">
        <f>CONCATENATE((IF(A315="","",(VLOOKUP(Novedades!D315,datos!$A$1:$C$46,3,FALSE)))),E315)</f>
        <v/>
      </c>
    </row>
    <row r="316" spans="5:10" x14ac:dyDescent="0.25">
      <c r="E316" t="str">
        <f>IF(D316="","",(VLOOKUP(D316,datos!A:D,4,FALSE)))</f>
        <v/>
      </c>
      <c r="G316" s="4"/>
      <c r="I316" s="2"/>
      <c r="J316" s="2" t="str">
        <f>CONCATENATE((IF(A316="","",(VLOOKUP(Novedades!D316,datos!$A$1:$C$46,3,FALSE)))),E316)</f>
        <v/>
      </c>
    </row>
    <row r="317" spans="5:10" x14ac:dyDescent="0.25">
      <c r="E317" t="str">
        <f>IF(D317="","",(VLOOKUP(D317,datos!A:D,4,FALSE)))</f>
        <v/>
      </c>
      <c r="G317" s="4"/>
      <c r="I317" s="2"/>
      <c r="J317" s="2" t="str">
        <f>CONCATENATE((IF(A317="","",(VLOOKUP(Novedades!D317,datos!$A$1:$C$46,3,FALSE)))),E317)</f>
        <v/>
      </c>
    </row>
    <row r="318" spans="5:10" x14ac:dyDescent="0.25">
      <c r="E318" t="str">
        <f>IF(D318="","",(VLOOKUP(D318,datos!A:D,4,FALSE)))</f>
        <v/>
      </c>
      <c r="G318" s="4"/>
      <c r="I318" s="2"/>
      <c r="J318" s="2" t="str">
        <f>CONCATENATE((IF(A318="","",(VLOOKUP(Novedades!D318,datos!$A$1:$C$46,3,FALSE)))),E318)</f>
        <v/>
      </c>
    </row>
    <row r="319" spans="5:10" x14ac:dyDescent="0.25">
      <c r="E319" t="str">
        <f>IF(D319="","",(VLOOKUP(D319,datos!A:D,4,FALSE)))</f>
        <v/>
      </c>
      <c r="G319" s="4"/>
      <c r="I319" s="2"/>
      <c r="J319" s="2" t="str">
        <f>CONCATENATE((IF(A319="","",(VLOOKUP(Novedades!D319,datos!$A$1:$C$46,3,FALSE)))),E319)</f>
        <v/>
      </c>
    </row>
    <row r="320" spans="5:10" x14ac:dyDescent="0.25">
      <c r="E320" t="str">
        <f>IF(D320="","",(VLOOKUP(D320,datos!A:D,4,FALSE)))</f>
        <v/>
      </c>
      <c r="G320" s="4"/>
      <c r="I320" s="2"/>
      <c r="J320" s="2" t="str">
        <f>CONCATENATE((IF(A320="","",(VLOOKUP(Novedades!D320,datos!$A$1:$C$46,3,FALSE)))),E320)</f>
        <v/>
      </c>
    </row>
    <row r="321" spans="5:10" x14ac:dyDescent="0.25">
      <c r="E321" t="str">
        <f>IF(D321="","",(VLOOKUP(D321,datos!A:D,4,FALSE)))</f>
        <v/>
      </c>
      <c r="G321" s="4"/>
      <c r="I321" s="2"/>
      <c r="J321" s="2" t="str">
        <f>CONCATENATE((IF(A321="","",(VLOOKUP(Novedades!D321,datos!$A$1:$C$46,3,FALSE)))),E321)</f>
        <v/>
      </c>
    </row>
    <row r="322" spans="5:10" x14ac:dyDescent="0.25">
      <c r="E322" t="str">
        <f>IF(D322="","",(VLOOKUP(D322,datos!A:D,4,FALSE)))</f>
        <v/>
      </c>
      <c r="G322" s="4"/>
      <c r="I322" s="2"/>
      <c r="J322" s="2" t="str">
        <f>CONCATENATE((IF(A322="","",(VLOOKUP(Novedades!D322,datos!$A$1:$C$46,3,FALSE)))),E322)</f>
        <v/>
      </c>
    </row>
    <row r="323" spans="5:10" x14ac:dyDescent="0.25">
      <c r="E323" t="str">
        <f>IF(D323="","",(VLOOKUP(D323,datos!A:D,4,FALSE)))</f>
        <v/>
      </c>
      <c r="G323" s="4"/>
      <c r="I323" s="2"/>
      <c r="J323" s="2" t="str">
        <f>CONCATENATE((IF(A323="","",(VLOOKUP(Novedades!D323,datos!$A$1:$C$46,3,FALSE)))),E323)</f>
        <v/>
      </c>
    </row>
    <row r="324" spans="5:10" x14ac:dyDescent="0.25">
      <c r="E324" t="str">
        <f>IF(D324="","",(VLOOKUP(D324,datos!A:D,4,FALSE)))</f>
        <v/>
      </c>
      <c r="G324" s="4"/>
      <c r="I324" s="2"/>
      <c r="J324" s="2" t="str">
        <f>CONCATENATE((IF(A324="","",(VLOOKUP(Novedades!D324,datos!$A$1:$C$46,3,FALSE)))),E324)</f>
        <v/>
      </c>
    </row>
    <row r="325" spans="5:10" x14ac:dyDescent="0.25">
      <c r="E325" t="str">
        <f>IF(D325="","",(VLOOKUP(D325,datos!A:D,4,FALSE)))</f>
        <v/>
      </c>
      <c r="G325" s="4"/>
      <c r="I325" s="2"/>
      <c r="J325" s="2" t="str">
        <f>CONCATENATE((IF(A325="","",(VLOOKUP(Novedades!D325,datos!$A$1:$C$46,3,FALSE)))),E325)</f>
        <v/>
      </c>
    </row>
    <row r="326" spans="5:10" x14ac:dyDescent="0.25">
      <c r="E326" t="str">
        <f>IF(D326="","",(VLOOKUP(D326,datos!A:D,4,FALSE)))</f>
        <v/>
      </c>
      <c r="G326" s="4"/>
      <c r="I326" s="2"/>
      <c r="J326" s="2" t="str">
        <f>CONCATENATE((IF(A326="","",(VLOOKUP(Novedades!D326,datos!$A$1:$C$46,3,FALSE)))),E326)</f>
        <v/>
      </c>
    </row>
    <row r="327" spans="5:10" x14ac:dyDescent="0.25">
      <c r="E327" t="str">
        <f>IF(D327="","",(VLOOKUP(D327,datos!A:D,4,FALSE)))</f>
        <v/>
      </c>
      <c r="G327" s="4"/>
      <c r="I327" s="2"/>
      <c r="J327" s="2" t="str">
        <f>CONCATENATE((IF(A327="","",(VLOOKUP(Novedades!D327,datos!$A$1:$C$46,3,FALSE)))),E327)</f>
        <v/>
      </c>
    </row>
    <row r="328" spans="5:10" x14ac:dyDescent="0.25">
      <c r="E328" t="str">
        <f>IF(D328="","",(VLOOKUP(D328,datos!A:D,4,FALSE)))</f>
        <v/>
      </c>
      <c r="G328" s="4"/>
      <c r="I328" s="2"/>
      <c r="J328" s="2" t="str">
        <f>CONCATENATE((IF(A328="","",(VLOOKUP(Novedades!D328,datos!$A$1:$C$46,3,FALSE)))),E328)</f>
        <v/>
      </c>
    </row>
    <row r="329" spans="5:10" x14ac:dyDescent="0.25">
      <c r="E329" t="str">
        <f>IF(D329="","",(VLOOKUP(D329,datos!A:D,4,FALSE)))</f>
        <v/>
      </c>
      <c r="G329" s="4"/>
      <c r="I329" s="2"/>
      <c r="J329" s="2" t="str">
        <f>CONCATENATE((IF(A329="","",(VLOOKUP(Novedades!D329,datos!$A$1:$C$46,3,FALSE)))),E329)</f>
        <v/>
      </c>
    </row>
    <row r="330" spans="5:10" x14ac:dyDescent="0.25">
      <c r="E330" t="str">
        <f>IF(D330="","",(VLOOKUP(D330,datos!A:D,4,FALSE)))</f>
        <v/>
      </c>
      <c r="G330" s="4"/>
      <c r="I330" s="2"/>
      <c r="J330" s="2" t="str">
        <f>CONCATENATE((IF(A330="","",(VLOOKUP(Novedades!D330,datos!$A$1:$C$46,3,FALSE)))),E330)</f>
        <v/>
      </c>
    </row>
    <row r="331" spans="5:10" x14ac:dyDescent="0.25">
      <c r="E331" t="str">
        <f>IF(D331="","",(VLOOKUP(D331,datos!A:D,4,FALSE)))</f>
        <v/>
      </c>
      <c r="G331" s="4"/>
      <c r="I331" s="2"/>
      <c r="J331" s="2" t="str">
        <f>CONCATENATE((IF(A331="","",(VLOOKUP(Novedades!D331,datos!$A$1:$C$46,3,FALSE)))),E331)</f>
        <v/>
      </c>
    </row>
    <row r="332" spans="5:10" x14ac:dyDescent="0.25">
      <c r="E332" t="str">
        <f>IF(D332="","",(VLOOKUP(D332,datos!A:D,4,FALSE)))</f>
        <v/>
      </c>
      <c r="G332" s="4"/>
      <c r="I332" s="2"/>
      <c r="J332" s="2" t="str">
        <f>CONCATENATE((IF(A332="","",(VLOOKUP(Novedades!D332,datos!$A$1:$C$46,3,FALSE)))),E332)</f>
        <v/>
      </c>
    </row>
    <row r="333" spans="5:10" x14ac:dyDescent="0.25">
      <c r="E333" t="str">
        <f>IF(D333="","",(VLOOKUP(D333,datos!A:D,4,FALSE)))</f>
        <v/>
      </c>
      <c r="G333" s="4"/>
      <c r="I333" s="2"/>
      <c r="J333" s="2" t="str">
        <f>CONCATENATE((IF(A333="","",(VLOOKUP(Novedades!D333,datos!$A$1:$C$46,3,FALSE)))),E333)</f>
        <v/>
      </c>
    </row>
    <row r="334" spans="5:10" x14ac:dyDescent="0.25">
      <c r="E334" t="str">
        <f>IF(D334="","",(VLOOKUP(D334,datos!A:D,4,FALSE)))</f>
        <v/>
      </c>
      <c r="G334" s="4"/>
      <c r="I334" s="2"/>
      <c r="J334" s="2" t="str">
        <f>CONCATENATE((IF(A334="","",(VLOOKUP(Novedades!D334,datos!$A$1:$C$46,3,FALSE)))),E334)</f>
        <v/>
      </c>
    </row>
    <row r="335" spans="5:10" x14ac:dyDescent="0.25">
      <c r="E335" t="str">
        <f>IF(D335="","",(VLOOKUP(D335,datos!A:D,4,FALSE)))</f>
        <v/>
      </c>
      <c r="G335" s="4"/>
      <c r="I335" s="2"/>
      <c r="J335" s="2" t="str">
        <f>CONCATENATE((IF(A335="","",(VLOOKUP(Novedades!D335,datos!$A$1:$C$46,3,FALSE)))),E335)</f>
        <v/>
      </c>
    </row>
    <row r="336" spans="5:10" x14ac:dyDescent="0.25">
      <c r="E336" t="str">
        <f>IF(D336="","",(VLOOKUP(D336,datos!A:D,4,FALSE)))</f>
        <v/>
      </c>
      <c r="G336" s="4"/>
      <c r="I336" s="2"/>
      <c r="J336" s="2" t="str">
        <f>CONCATENATE((IF(A336="","",(VLOOKUP(Novedades!D336,datos!$A$1:$C$46,3,FALSE)))),E336)</f>
        <v/>
      </c>
    </row>
    <row r="337" spans="5:10" x14ac:dyDescent="0.25">
      <c r="E337" t="str">
        <f>IF(D337="","",(VLOOKUP(D337,datos!A:D,4,FALSE)))</f>
        <v/>
      </c>
      <c r="G337" s="4"/>
      <c r="I337" s="2"/>
      <c r="J337" s="2" t="str">
        <f>CONCATENATE((IF(A337="","",(VLOOKUP(Novedades!D337,datos!$A$1:$C$46,3,FALSE)))),E337)</f>
        <v/>
      </c>
    </row>
    <row r="338" spans="5:10" x14ac:dyDescent="0.25">
      <c r="E338" t="str">
        <f>IF(D338="","",(VLOOKUP(D338,datos!A:D,4,FALSE)))</f>
        <v/>
      </c>
      <c r="G338" s="4"/>
      <c r="I338" s="2"/>
      <c r="J338" s="2" t="str">
        <f>CONCATENATE((IF(A338="","",(VLOOKUP(Novedades!D338,datos!$A$1:$C$46,3,FALSE)))),E338)</f>
        <v/>
      </c>
    </row>
    <row r="339" spans="5:10" x14ac:dyDescent="0.25">
      <c r="E339" t="str">
        <f>IF(D339="","",(VLOOKUP(D339,datos!A:D,4,FALSE)))</f>
        <v/>
      </c>
      <c r="G339" s="4"/>
      <c r="I339" s="2"/>
      <c r="J339" s="2" t="str">
        <f>CONCATENATE((IF(A339="","",(VLOOKUP(Novedades!D339,datos!$A$1:$C$46,3,FALSE)))),E339)</f>
        <v/>
      </c>
    </row>
    <row r="340" spans="5:10" x14ac:dyDescent="0.25">
      <c r="E340" t="str">
        <f>IF(D340="","",(VLOOKUP(D340,datos!A:D,4,FALSE)))</f>
        <v/>
      </c>
      <c r="G340" s="4"/>
      <c r="I340" s="2"/>
      <c r="J340" s="2" t="str">
        <f>CONCATENATE((IF(A340="","",(VLOOKUP(Novedades!D340,datos!$A$1:$C$46,3,FALSE)))),E340)</f>
        <v/>
      </c>
    </row>
    <row r="341" spans="5:10" x14ac:dyDescent="0.25">
      <c r="E341" t="str">
        <f>IF(D341="","",(VLOOKUP(D341,datos!A:D,4,FALSE)))</f>
        <v/>
      </c>
      <c r="G341" s="4"/>
      <c r="I341" s="2"/>
      <c r="J341" s="2" t="str">
        <f>CONCATENATE((IF(A341="","",(VLOOKUP(Novedades!D341,datos!$A$1:$C$46,3,FALSE)))),E341)</f>
        <v/>
      </c>
    </row>
    <row r="342" spans="5:10" x14ac:dyDescent="0.25">
      <c r="E342" t="str">
        <f>IF(D342="","",(VLOOKUP(D342,datos!A:D,4,FALSE)))</f>
        <v/>
      </c>
      <c r="G342" s="4"/>
      <c r="I342" s="2"/>
      <c r="J342" s="2" t="str">
        <f>CONCATENATE((IF(A342="","",(VLOOKUP(Novedades!D342,datos!$A$1:$C$46,3,FALSE)))),E342)</f>
        <v/>
      </c>
    </row>
    <row r="343" spans="5:10" x14ac:dyDescent="0.25">
      <c r="E343" t="str">
        <f>IF(D343="","",(VLOOKUP(D343,datos!A:D,4,FALSE)))</f>
        <v/>
      </c>
      <c r="G343" s="4"/>
      <c r="I343" s="2"/>
      <c r="J343" s="2" t="str">
        <f>CONCATENATE((IF(A343="","",(VLOOKUP(Novedades!D343,datos!$A$1:$C$46,3,FALSE)))),E343)</f>
        <v/>
      </c>
    </row>
    <row r="344" spans="5:10" x14ac:dyDescent="0.25">
      <c r="E344" t="str">
        <f>IF(D344="","",(VLOOKUP(D344,datos!A:D,4,FALSE)))</f>
        <v/>
      </c>
      <c r="G344" s="4"/>
      <c r="I344" s="2"/>
      <c r="J344" s="2" t="str">
        <f>CONCATENATE((IF(A344="","",(VLOOKUP(Novedades!D344,datos!$A$1:$C$46,3,FALSE)))),E344)</f>
        <v/>
      </c>
    </row>
    <row r="345" spans="5:10" x14ac:dyDescent="0.25">
      <c r="E345" t="str">
        <f>IF(D345="","",(VLOOKUP(D345,datos!A:D,4,FALSE)))</f>
        <v/>
      </c>
      <c r="G345" s="4"/>
      <c r="I345" s="2"/>
      <c r="J345" s="2" t="str">
        <f>CONCATENATE((IF(A345="","",(VLOOKUP(Novedades!D345,datos!$A$1:$C$46,3,FALSE)))),E345)</f>
        <v/>
      </c>
    </row>
    <row r="346" spans="5:10" x14ac:dyDescent="0.25">
      <c r="E346" t="str">
        <f>IF(D346="","",(VLOOKUP(D346,datos!A:D,4,FALSE)))</f>
        <v/>
      </c>
      <c r="G346" s="4"/>
      <c r="I346" s="2"/>
      <c r="J346" s="2" t="str">
        <f>CONCATENATE((IF(A346="","",(VLOOKUP(Novedades!D346,datos!$A$1:$C$46,3,FALSE)))),E346)</f>
        <v/>
      </c>
    </row>
    <row r="347" spans="5:10" x14ac:dyDescent="0.25">
      <c r="E347" t="str">
        <f>IF(D347="","",(VLOOKUP(D347,datos!A:D,4,FALSE)))</f>
        <v/>
      </c>
      <c r="G347" s="4"/>
      <c r="I347" s="2"/>
      <c r="J347" s="2" t="str">
        <f>CONCATENATE((IF(A347="","",(VLOOKUP(Novedades!D347,datos!$A$1:$C$46,3,FALSE)))),E347)</f>
        <v/>
      </c>
    </row>
    <row r="348" spans="5:10" x14ac:dyDescent="0.25">
      <c r="E348" t="str">
        <f>IF(D348="","",(VLOOKUP(D348,datos!A:D,4,FALSE)))</f>
        <v/>
      </c>
      <c r="G348" s="4"/>
      <c r="I348" s="2"/>
      <c r="J348" s="2" t="str">
        <f>CONCATENATE((IF(A348="","",(VLOOKUP(Novedades!D348,datos!$A$1:$C$46,3,FALSE)))),E348)</f>
        <v/>
      </c>
    </row>
    <row r="349" spans="5:10" x14ac:dyDescent="0.25">
      <c r="E349" t="str">
        <f>IF(D349="","",(VLOOKUP(D349,datos!A:D,4,FALSE)))</f>
        <v/>
      </c>
      <c r="G349" s="4"/>
      <c r="I349" s="2"/>
      <c r="J349" s="2" t="str">
        <f>CONCATENATE((IF(A349="","",(VLOOKUP(Novedades!D349,datos!$A$1:$C$46,3,FALSE)))),E349)</f>
        <v/>
      </c>
    </row>
    <row r="350" spans="5:10" x14ac:dyDescent="0.25">
      <c r="E350" t="str">
        <f>IF(D350="","",(VLOOKUP(D350,datos!A:D,4,FALSE)))</f>
        <v/>
      </c>
      <c r="G350" s="4"/>
      <c r="I350" s="2"/>
      <c r="J350" s="2" t="str">
        <f>CONCATENATE((IF(A350="","",(VLOOKUP(Novedades!D350,datos!$A$1:$C$46,3,FALSE)))),E350)</f>
        <v/>
      </c>
    </row>
    <row r="351" spans="5:10" x14ac:dyDescent="0.25">
      <c r="E351" t="str">
        <f>IF(D351="","",(VLOOKUP(D351,datos!A:D,4,FALSE)))</f>
        <v/>
      </c>
      <c r="G351" s="4"/>
      <c r="I351" s="2"/>
      <c r="J351" s="2" t="str">
        <f>CONCATENATE((IF(A351="","",(VLOOKUP(Novedades!D351,datos!$A$1:$C$46,3,FALSE)))),E351)</f>
        <v/>
      </c>
    </row>
    <row r="352" spans="5:10" x14ac:dyDescent="0.25">
      <c r="E352" t="str">
        <f>IF(D352="","",(VLOOKUP(D352,datos!A:D,4,FALSE)))</f>
        <v/>
      </c>
      <c r="G352" s="4"/>
      <c r="I352" s="2"/>
      <c r="J352" s="2" t="str">
        <f>CONCATENATE((IF(A352="","",(VLOOKUP(Novedades!D352,datos!$A$1:$C$46,3,FALSE)))),E352)</f>
        <v/>
      </c>
    </row>
    <row r="353" spans="5:10" x14ac:dyDescent="0.25">
      <c r="E353" t="str">
        <f>IF(D353="","",(VLOOKUP(D353,datos!A:D,4,FALSE)))</f>
        <v/>
      </c>
      <c r="G353" s="4"/>
      <c r="I353" s="2"/>
      <c r="J353" s="2" t="str">
        <f>CONCATENATE((IF(A353="","",(VLOOKUP(Novedades!D353,datos!$A$1:$C$46,3,FALSE)))),E353)</f>
        <v/>
      </c>
    </row>
    <row r="354" spans="5:10" x14ac:dyDescent="0.25">
      <c r="E354" t="str">
        <f>IF(D354="","",(VLOOKUP(D354,datos!A:D,4,FALSE)))</f>
        <v/>
      </c>
      <c r="G354" s="4"/>
      <c r="I354" s="2"/>
      <c r="J354" s="2" t="str">
        <f>CONCATENATE((IF(A354="","",(VLOOKUP(Novedades!D354,datos!$A$1:$C$46,3,FALSE)))),E354)</f>
        <v/>
      </c>
    </row>
    <row r="355" spans="5:10" x14ac:dyDescent="0.25">
      <c r="E355" t="str">
        <f>IF(D355="","",(VLOOKUP(D355,datos!A:D,4,FALSE)))</f>
        <v/>
      </c>
      <c r="G355" s="4"/>
      <c r="I355" s="2"/>
      <c r="J355" s="2" t="str">
        <f>CONCATENATE((IF(A355="","",(VLOOKUP(Novedades!D355,datos!$A$1:$C$46,3,FALSE)))),E355)</f>
        <v/>
      </c>
    </row>
    <row r="356" spans="5:10" x14ac:dyDescent="0.25">
      <c r="E356" t="str">
        <f>IF(D356="","",(VLOOKUP(D356,datos!A:D,4,FALSE)))</f>
        <v/>
      </c>
      <c r="G356" s="4"/>
      <c r="I356" s="2"/>
      <c r="J356" s="2" t="str">
        <f>CONCATENATE((IF(A356="","",(VLOOKUP(Novedades!D356,datos!$A$1:$C$46,3,FALSE)))),E356)</f>
        <v/>
      </c>
    </row>
    <row r="357" spans="5:10" x14ac:dyDescent="0.25">
      <c r="E357" t="str">
        <f>IF(D357="","",(VLOOKUP(D357,datos!A:D,4,FALSE)))</f>
        <v/>
      </c>
      <c r="G357" s="4"/>
      <c r="I357" s="2"/>
      <c r="J357" s="2" t="str">
        <f>CONCATENATE((IF(A357="","",(VLOOKUP(Novedades!D357,datos!$A$1:$C$46,3,FALSE)))),E357)</f>
        <v/>
      </c>
    </row>
    <row r="358" spans="5:10" x14ac:dyDescent="0.25">
      <c r="E358" t="str">
        <f>IF(D358="","",(VLOOKUP(D358,datos!A:D,4,FALSE)))</f>
        <v/>
      </c>
      <c r="G358" s="4"/>
      <c r="I358" s="2"/>
      <c r="J358" s="2" t="str">
        <f>CONCATENATE((IF(A358="","",(VLOOKUP(Novedades!D358,datos!$A$1:$C$46,3,FALSE)))),E358)</f>
        <v/>
      </c>
    </row>
    <row r="359" spans="5:10" x14ac:dyDescent="0.25">
      <c r="E359" t="str">
        <f>IF(D359="","",(VLOOKUP(D359,datos!A:D,4,FALSE)))</f>
        <v/>
      </c>
      <c r="G359" s="4"/>
      <c r="I359" s="2"/>
      <c r="J359" s="2" t="str">
        <f>CONCATENATE((IF(A359="","",(VLOOKUP(Novedades!D359,datos!$A$1:$C$46,3,FALSE)))),E359)</f>
        <v/>
      </c>
    </row>
    <row r="360" spans="5:10" x14ac:dyDescent="0.25">
      <c r="E360" t="str">
        <f>IF(D360="","",(VLOOKUP(D360,datos!A:D,4,FALSE)))</f>
        <v/>
      </c>
      <c r="G360" s="4"/>
      <c r="I360" s="2"/>
      <c r="J360" s="2" t="str">
        <f>CONCATENATE((IF(A360="","",(VLOOKUP(Novedades!D360,datos!$A$1:$C$46,3,FALSE)))),E360)</f>
        <v/>
      </c>
    </row>
    <row r="361" spans="5:10" x14ac:dyDescent="0.25">
      <c r="E361" t="str">
        <f>IF(D361="","",(VLOOKUP(D361,datos!A:D,4,FALSE)))</f>
        <v/>
      </c>
      <c r="G361" s="4"/>
      <c r="I361" s="2"/>
      <c r="J361" s="2" t="str">
        <f>CONCATENATE((IF(A361="","",(VLOOKUP(Novedades!D361,datos!$A$1:$C$46,3,FALSE)))),E361)</f>
        <v/>
      </c>
    </row>
    <row r="362" spans="5:10" x14ac:dyDescent="0.25">
      <c r="E362" t="str">
        <f>IF(D362="","",(VLOOKUP(D362,datos!A:D,4,FALSE)))</f>
        <v/>
      </c>
      <c r="G362" s="4"/>
      <c r="I362" s="2"/>
      <c r="J362" s="2" t="str">
        <f>CONCATENATE((IF(A362="","",(VLOOKUP(Novedades!D362,datos!$A$1:$C$46,3,FALSE)))),E362)</f>
        <v/>
      </c>
    </row>
    <row r="363" spans="5:10" x14ac:dyDescent="0.25">
      <c r="E363" t="str">
        <f>IF(D363="","",(VLOOKUP(D363,datos!A:D,4,FALSE)))</f>
        <v/>
      </c>
      <c r="G363" s="4"/>
      <c r="I363" s="2"/>
      <c r="J363" s="2" t="str">
        <f>CONCATENATE((IF(A363="","",(VLOOKUP(Novedades!D363,datos!$A$1:$C$46,3,FALSE)))),E363)</f>
        <v/>
      </c>
    </row>
    <row r="364" spans="5:10" x14ac:dyDescent="0.25">
      <c r="E364" t="str">
        <f>IF(D364="","",(VLOOKUP(D364,datos!A:D,4,FALSE)))</f>
        <v/>
      </c>
      <c r="G364" s="4"/>
      <c r="I364" s="2"/>
      <c r="J364" s="2" t="str">
        <f>CONCATENATE((IF(A364="","",(VLOOKUP(Novedades!D364,datos!$A$1:$C$46,3,FALSE)))),E364)</f>
        <v/>
      </c>
    </row>
    <row r="365" spans="5:10" x14ac:dyDescent="0.25">
      <c r="E365" t="str">
        <f>IF(D365="","",(VLOOKUP(D365,datos!A:D,4,FALSE)))</f>
        <v/>
      </c>
      <c r="G365" s="4"/>
      <c r="I365" s="2"/>
      <c r="J365" s="2" t="str">
        <f>CONCATENATE((IF(A365="","",(VLOOKUP(Novedades!D365,datos!$A$1:$C$46,3,FALSE)))),E365)</f>
        <v/>
      </c>
    </row>
    <row r="366" spans="5:10" x14ac:dyDescent="0.25">
      <c r="E366" t="str">
        <f>IF(D366="","",(VLOOKUP(D366,datos!A:D,4,FALSE)))</f>
        <v/>
      </c>
      <c r="G366" s="4"/>
      <c r="I366" s="2"/>
      <c r="J366" s="2" t="str">
        <f>CONCATENATE((IF(A366="","",(VLOOKUP(Novedades!D366,datos!$A$1:$C$46,3,FALSE)))),E366)</f>
        <v/>
      </c>
    </row>
    <row r="367" spans="5:10" x14ac:dyDescent="0.25">
      <c r="E367" t="str">
        <f>IF(D367="","",(VLOOKUP(D367,datos!A:D,4,FALSE)))</f>
        <v/>
      </c>
      <c r="G367" s="4"/>
      <c r="I367" s="2"/>
      <c r="J367" s="2" t="str">
        <f>CONCATENATE((IF(A367="","",(VLOOKUP(Novedades!D367,datos!$A$1:$C$46,3,FALSE)))),E367)</f>
        <v/>
      </c>
    </row>
    <row r="368" spans="5:10" x14ac:dyDescent="0.25">
      <c r="E368" t="str">
        <f>IF(D368="","",(VLOOKUP(D368,datos!A:D,4,FALSE)))</f>
        <v/>
      </c>
      <c r="G368" s="4"/>
      <c r="I368" s="2"/>
      <c r="J368" s="2" t="str">
        <f>CONCATENATE((IF(A368="","",(VLOOKUP(Novedades!D368,datos!$A$1:$C$46,3,FALSE)))),E368)</f>
        <v/>
      </c>
    </row>
    <row r="369" spans="5:10" x14ac:dyDescent="0.25">
      <c r="E369" t="str">
        <f>IF(D369="","",(VLOOKUP(D369,datos!A:D,4,FALSE)))</f>
        <v/>
      </c>
      <c r="G369" s="4"/>
      <c r="I369" s="2"/>
      <c r="J369" s="2" t="str">
        <f>CONCATENATE((IF(A369="","",(VLOOKUP(Novedades!D369,datos!$A$1:$C$46,3,FALSE)))),E369)</f>
        <v/>
      </c>
    </row>
    <row r="370" spans="5:10" x14ac:dyDescent="0.25">
      <c r="E370" t="str">
        <f>IF(D370="","",(VLOOKUP(D370,datos!A:D,4,FALSE)))</f>
        <v/>
      </c>
      <c r="G370" s="4"/>
      <c r="I370" s="2"/>
      <c r="J370" s="2" t="str">
        <f>CONCATENATE((IF(A370="","",(VLOOKUP(Novedades!D370,datos!$A$1:$C$46,3,FALSE)))),E370)</f>
        <v/>
      </c>
    </row>
    <row r="371" spans="5:10" x14ac:dyDescent="0.25">
      <c r="E371" t="str">
        <f>IF(D371="","",(VLOOKUP(D371,datos!A:D,4,FALSE)))</f>
        <v/>
      </c>
      <c r="G371" s="4"/>
      <c r="I371" s="2"/>
      <c r="J371" s="2" t="str">
        <f>CONCATENATE((IF(A371="","",(VLOOKUP(Novedades!D371,datos!$A$1:$C$46,3,FALSE)))),E371)</f>
        <v/>
      </c>
    </row>
    <row r="372" spans="5:10" x14ac:dyDescent="0.25">
      <c r="E372" t="str">
        <f>IF(D372="","",(VLOOKUP(D372,datos!A:D,4,FALSE)))</f>
        <v/>
      </c>
      <c r="G372" s="4"/>
      <c r="I372" s="2"/>
      <c r="J372" s="2" t="str">
        <f>CONCATENATE((IF(A372="","",(VLOOKUP(Novedades!D372,datos!$A$1:$C$46,3,FALSE)))),E372)</f>
        <v/>
      </c>
    </row>
    <row r="373" spans="5:10" x14ac:dyDescent="0.25">
      <c r="E373" t="str">
        <f>IF(D373="","",(VLOOKUP(D373,datos!A:D,4,FALSE)))</f>
        <v/>
      </c>
      <c r="G373" s="4"/>
      <c r="I373" s="2"/>
      <c r="J373" s="2" t="str">
        <f>CONCATENATE((IF(A373="","",(VLOOKUP(Novedades!D373,datos!$A$1:$C$46,3,FALSE)))),E373)</f>
        <v/>
      </c>
    </row>
    <row r="374" spans="5:10" x14ac:dyDescent="0.25">
      <c r="E374" t="str">
        <f>IF(D374="","",(VLOOKUP(D374,datos!A:D,4,FALSE)))</f>
        <v/>
      </c>
      <c r="G374" s="4"/>
      <c r="I374" s="2"/>
      <c r="J374" s="2" t="str">
        <f>CONCATENATE((IF(A374="","",(VLOOKUP(Novedades!D374,datos!$A$1:$C$46,3,FALSE)))),E374)</f>
        <v/>
      </c>
    </row>
    <row r="375" spans="5:10" x14ac:dyDescent="0.25">
      <c r="E375" t="str">
        <f>IF(D375="","",(VLOOKUP(D375,datos!A:D,4,FALSE)))</f>
        <v/>
      </c>
      <c r="G375" s="4"/>
      <c r="I375" s="2"/>
      <c r="J375" s="2" t="str">
        <f>CONCATENATE((IF(A375="","",(VLOOKUP(Novedades!D375,datos!$A$1:$C$46,3,FALSE)))),E375)</f>
        <v/>
      </c>
    </row>
    <row r="376" spans="5:10" x14ac:dyDescent="0.25">
      <c r="E376" t="str">
        <f>IF(D376="","",(VLOOKUP(D376,datos!A:D,4,FALSE)))</f>
        <v/>
      </c>
      <c r="G376" s="4"/>
      <c r="I376" s="2"/>
      <c r="J376" s="2" t="str">
        <f>CONCATENATE((IF(A376="","",(VLOOKUP(Novedades!D376,datos!$A$1:$C$46,3,FALSE)))),E376)</f>
        <v/>
      </c>
    </row>
    <row r="377" spans="5:10" x14ac:dyDescent="0.25">
      <c r="E377" t="str">
        <f>IF(D377="","",(VLOOKUP(D377,datos!A:D,4,FALSE)))</f>
        <v/>
      </c>
      <c r="G377" s="4"/>
      <c r="I377" s="2"/>
      <c r="J377" s="2" t="str">
        <f>CONCATENATE((IF(A377="","",(VLOOKUP(Novedades!D377,datos!$A$1:$C$46,3,FALSE)))),E377)</f>
        <v/>
      </c>
    </row>
    <row r="378" spans="5:10" x14ac:dyDescent="0.25">
      <c r="E378" t="str">
        <f>IF(D378="","",(VLOOKUP(D378,datos!A:D,4,FALSE)))</f>
        <v/>
      </c>
      <c r="G378" s="4"/>
      <c r="I378" s="2"/>
      <c r="J378" s="2" t="str">
        <f>CONCATENATE((IF(A378="","",(VLOOKUP(Novedades!D378,datos!$A$1:$C$46,3,FALSE)))),E378)</f>
        <v/>
      </c>
    </row>
    <row r="379" spans="5:10" x14ac:dyDescent="0.25">
      <c r="E379" t="str">
        <f>IF(D379="","",(VLOOKUP(D379,datos!A:D,4,FALSE)))</f>
        <v/>
      </c>
      <c r="G379" s="4"/>
      <c r="I379" s="2"/>
      <c r="J379" s="2" t="str">
        <f>CONCATENATE((IF(A379="","",(VLOOKUP(Novedades!D379,datos!$A$1:$C$46,3,FALSE)))),E379)</f>
        <v/>
      </c>
    </row>
    <row r="380" spans="5:10" x14ac:dyDescent="0.25">
      <c r="E380" t="str">
        <f>IF(D380="","",(VLOOKUP(D380,datos!A:D,4,FALSE)))</f>
        <v/>
      </c>
      <c r="G380" s="4"/>
      <c r="I380" s="2"/>
      <c r="J380" s="2" t="str">
        <f>CONCATENATE((IF(A380="","",(VLOOKUP(Novedades!D380,datos!$A$1:$C$46,3,FALSE)))),E380)</f>
        <v/>
      </c>
    </row>
    <row r="381" spans="5:10" x14ac:dyDescent="0.25">
      <c r="E381" t="str">
        <f>IF(D381="","",(VLOOKUP(D381,datos!A:D,4,FALSE)))</f>
        <v/>
      </c>
      <c r="G381" s="4"/>
      <c r="I381" s="2"/>
      <c r="J381" s="2" t="str">
        <f>CONCATENATE((IF(A381="","",(VLOOKUP(Novedades!D381,datos!$A$1:$C$46,3,FALSE)))),E381)</f>
        <v/>
      </c>
    </row>
    <row r="382" spans="5:10" x14ac:dyDescent="0.25">
      <c r="E382" t="str">
        <f>IF(D382="","",(VLOOKUP(D382,datos!A:D,4,FALSE)))</f>
        <v/>
      </c>
      <c r="G382" s="4"/>
      <c r="I382" s="2"/>
      <c r="J382" s="2" t="str">
        <f>CONCATENATE((IF(A382="","",(VLOOKUP(Novedades!D382,datos!$A$1:$C$46,3,FALSE)))),E382)</f>
        <v/>
      </c>
    </row>
    <row r="383" spans="5:10" x14ac:dyDescent="0.25">
      <c r="E383" t="str">
        <f>IF(D383="","",(VLOOKUP(D383,datos!A:D,4,FALSE)))</f>
        <v/>
      </c>
      <c r="G383" s="4"/>
      <c r="I383" s="2"/>
      <c r="J383" s="2" t="str">
        <f>CONCATENATE((IF(A383="","",(VLOOKUP(Novedades!D383,datos!$A$1:$C$46,3,FALSE)))),E383)</f>
        <v/>
      </c>
    </row>
    <row r="384" spans="5:10" x14ac:dyDescent="0.25">
      <c r="E384" t="str">
        <f>IF(D384="","",(VLOOKUP(D384,datos!A:D,4,FALSE)))</f>
        <v/>
      </c>
      <c r="G384" s="4"/>
      <c r="I384" s="2"/>
      <c r="J384" s="2" t="str">
        <f>CONCATENATE((IF(A384="","",(VLOOKUP(Novedades!D384,datos!$A$1:$C$46,3,FALSE)))),E384)</f>
        <v/>
      </c>
    </row>
    <row r="385" spans="5:10" x14ac:dyDescent="0.25">
      <c r="E385" t="str">
        <f>IF(D385="","",(VLOOKUP(D385,datos!A:D,4,FALSE)))</f>
        <v/>
      </c>
      <c r="G385" s="4"/>
      <c r="I385" s="2"/>
      <c r="J385" s="2" t="str">
        <f>CONCATENATE((IF(A385="","",(VLOOKUP(Novedades!D385,datos!$A$1:$C$46,3,FALSE)))),E385)</f>
        <v/>
      </c>
    </row>
    <row r="386" spans="5:10" x14ac:dyDescent="0.25">
      <c r="E386" t="str">
        <f>IF(D386="","",(VLOOKUP(D386,datos!A:D,4,FALSE)))</f>
        <v/>
      </c>
      <c r="G386" s="4"/>
      <c r="I386" s="2"/>
      <c r="J386" s="2" t="str">
        <f>CONCATENATE((IF(A386="","",(VLOOKUP(Novedades!D386,datos!$A$1:$C$46,3,FALSE)))),E386)</f>
        <v/>
      </c>
    </row>
    <row r="387" spans="5:10" x14ac:dyDescent="0.25">
      <c r="E387" t="str">
        <f>IF(D387="","",(VLOOKUP(D387,datos!A:D,4,FALSE)))</f>
        <v/>
      </c>
      <c r="G387" s="4"/>
      <c r="I387" s="2"/>
      <c r="J387" s="2" t="str">
        <f>CONCATENATE((IF(A387="","",(VLOOKUP(Novedades!D387,datos!$A$1:$C$46,3,FALSE)))),E387)</f>
        <v/>
      </c>
    </row>
    <row r="388" spans="5:10" x14ac:dyDescent="0.25">
      <c r="E388" t="str">
        <f>IF(D388="","",(VLOOKUP(D388,datos!A:D,4,FALSE)))</f>
        <v/>
      </c>
      <c r="G388" s="4"/>
      <c r="I388" s="2"/>
      <c r="J388" s="2" t="str">
        <f>CONCATENATE((IF(A388="","",(VLOOKUP(Novedades!D388,datos!$A$1:$C$46,3,FALSE)))),E388)</f>
        <v/>
      </c>
    </row>
    <row r="389" spans="5:10" x14ac:dyDescent="0.25">
      <c r="E389" t="str">
        <f>IF(D389="","",(VLOOKUP(D389,datos!A:D,4,FALSE)))</f>
        <v/>
      </c>
      <c r="G389" s="4"/>
      <c r="I389" s="2"/>
      <c r="J389" s="2" t="str">
        <f>CONCATENATE((IF(A389="","",(VLOOKUP(Novedades!D389,datos!$A$1:$C$46,3,FALSE)))),E389)</f>
        <v/>
      </c>
    </row>
    <row r="390" spans="5:10" x14ac:dyDescent="0.25">
      <c r="E390" t="str">
        <f>IF(D390="","",(VLOOKUP(D390,datos!A:D,4,FALSE)))</f>
        <v/>
      </c>
      <c r="G390" s="4"/>
      <c r="I390" s="2"/>
      <c r="J390" s="2" t="str">
        <f>CONCATENATE((IF(A390="","",(VLOOKUP(Novedades!D390,datos!$A$1:$C$46,3,FALSE)))),E390)</f>
        <v/>
      </c>
    </row>
    <row r="391" spans="5:10" x14ac:dyDescent="0.25">
      <c r="E391" t="str">
        <f>IF(D391="","",(VLOOKUP(D391,datos!A:D,4,FALSE)))</f>
        <v/>
      </c>
      <c r="G391" s="4"/>
      <c r="I391" s="2"/>
      <c r="J391" s="2" t="str">
        <f>CONCATENATE((IF(A391="","",(VLOOKUP(Novedades!D391,datos!$A$1:$C$46,3,FALSE)))),E391)</f>
        <v/>
      </c>
    </row>
    <row r="392" spans="5:10" x14ac:dyDescent="0.25">
      <c r="E392" t="str">
        <f>IF(D392="","",(VLOOKUP(D392,datos!A:D,4,FALSE)))</f>
        <v/>
      </c>
      <c r="G392" s="4"/>
      <c r="I392" s="2"/>
      <c r="J392" s="2" t="str">
        <f>CONCATENATE((IF(A392="","",(VLOOKUP(Novedades!D392,datos!$A$1:$C$46,3,FALSE)))),E392)</f>
        <v/>
      </c>
    </row>
    <row r="393" spans="5:10" x14ac:dyDescent="0.25">
      <c r="E393" t="str">
        <f>IF(D393="","",(VLOOKUP(D393,datos!A:D,4,FALSE)))</f>
        <v/>
      </c>
      <c r="G393" s="4"/>
      <c r="I393" s="2"/>
      <c r="J393" s="2" t="str">
        <f>CONCATENATE((IF(A393="","",(VLOOKUP(Novedades!D393,datos!$A$1:$C$46,3,FALSE)))),E393)</f>
        <v/>
      </c>
    </row>
    <row r="394" spans="5:10" x14ac:dyDescent="0.25">
      <c r="E394" t="str">
        <f>IF(D394="","",(VLOOKUP(D394,datos!A:D,4,FALSE)))</f>
        <v/>
      </c>
      <c r="G394" s="4"/>
      <c r="I394" s="2"/>
      <c r="J394" s="2" t="str">
        <f>CONCATENATE((IF(A394="","",(VLOOKUP(Novedades!D394,datos!$A$1:$C$46,3,FALSE)))),E394)</f>
        <v/>
      </c>
    </row>
    <row r="395" spans="5:10" x14ac:dyDescent="0.25">
      <c r="E395" t="str">
        <f>IF(D395="","",(VLOOKUP(D395,datos!A:D,4,FALSE)))</f>
        <v/>
      </c>
      <c r="G395" s="4"/>
      <c r="I395" s="2"/>
      <c r="J395" s="2" t="str">
        <f>CONCATENATE((IF(A395="","",(VLOOKUP(Novedades!D395,datos!$A$1:$C$46,3,FALSE)))),E395)</f>
        <v/>
      </c>
    </row>
    <row r="396" spans="5:10" x14ac:dyDescent="0.25">
      <c r="E396" t="str">
        <f>IF(D396="","",(VLOOKUP(D396,datos!A:D,4,FALSE)))</f>
        <v/>
      </c>
      <c r="G396" s="4"/>
      <c r="I396" s="2"/>
      <c r="J396" s="2" t="str">
        <f>CONCATENATE((IF(A396="","",(VLOOKUP(Novedades!D396,datos!$A$1:$C$46,3,FALSE)))),E396)</f>
        <v/>
      </c>
    </row>
    <row r="397" spans="5:10" x14ac:dyDescent="0.25">
      <c r="E397" t="str">
        <f>IF(D397="","",(VLOOKUP(D397,datos!A:D,4,FALSE)))</f>
        <v/>
      </c>
      <c r="G397" s="4"/>
      <c r="I397" s="2"/>
      <c r="J397" s="2" t="str">
        <f>CONCATENATE((IF(A397="","",(VLOOKUP(Novedades!D397,datos!$A$1:$C$46,3,FALSE)))),E397)</f>
        <v/>
      </c>
    </row>
    <row r="398" spans="5:10" x14ac:dyDescent="0.25">
      <c r="E398" t="str">
        <f>IF(D398="","",(VLOOKUP(D398,datos!A:D,4,FALSE)))</f>
        <v/>
      </c>
      <c r="G398" s="4"/>
      <c r="I398" s="2"/>
      <c r="J398" s="2" t="str">
        <f>CONCATENATE((IF(A398="","",(VLOOKUP(Novedades!D398,datos!$A$1:$C$46,3,FALSE)))),E398)</f>
        <v/>
      </c>
    </row>
    <row r="399" spans="5:10" x14ac:dyDescent="0.25">
      <c r="E399" t="str">
        <f>IF(D399="","",(VLOOKUP(D399,datos!A:D,4,FALSE)))</f>
        <v/>
      </c>
      <c r="G399" s="4"/>
      <c r="I399" s="2"/>
      <c r="J399" s="2" t="str">
        <f>CONCATENATE((IF(A399="","",(VLOOKUP(Novedades!D399,datos!$A$1:$C$46,3,FALSE)))),E399)</f>
        <v/>
      </c>
    </row>
    <row r="400" spans="5:10" x14ac:dyDescent="0.25">
      <c r="E400" t="str">
        <f>IF(D400="","",(VLOOKUP(D400,datos!A:D,4,FALSE)))</f>
        <v/>
      </c>
      <c r="G400" s="4"/>
      <c r="I400" s="2"/>
      <c r="J400" s="2" t="str">
        <f>CONCATENATE((IF(A400="","",(VLOOKUP(Novedades!D400,datos!$A$1:$C$46,3,FALSE)))),E400)</f>
        <v/>
      </c>
    </row>
    <row r="401" spans="5:10" x14ac:dyDescent="0.25">
      <c r="E401" t="str">
        <f>IF(D401="","",(VLOOKUP(D401,datos!A:D,4,FALSE)))</f>
        <v/>
      </c>
      <c r="G401" s="4"/>
      <c r="I401" s="2"/>
      <c r="J401" s="2" t="str">
        <f>CONCATENATE((IF(A401="","",(VLOOKUP(Novedades!D401,datos!$A$1:$C$46,3,FALSE)))),E401)</f>
        <v/>
      </c>
    </row>
    <row r="402" spans="5:10" x14ac:dyDescent="0.25">
      <c r="E402" t="str">
        <f>IF(D402="","",(VLOOKUP(D402,datos!A:D,4,FALSE)))</f>
        <v/>
      </c>
      <c r="G402" s="4"/>
      <c r="I402" s="2"/>
      <c r="J402" s="2" t="str">
        <f>CONCATENATE((IF(A402="","",(VLOOKUP(Novedades!D402,datos!$A$1:$C$46,3,FALSE)))),E402)</f>
        <v/>
      </c>
    </row>
    <row r="403" spans="5:10" x14ac:dyDescent="0.25">
      <c r="E403" t="str">
        <f>IF(D403="","",(VLOOKUP(D403,datos!A:D,4,FALSE)))</f>
        <v/>
      </c>
      <c r="G403" s="4"/>
      <c r="I403" s="2"/>
      <c r="J403" s="2" t="str">
        <f>CONCATENATE((IF(A403="","",(VLOOKUP(Novedades!D403,datos!$A$1:$C$46,3,FALSE)))),E403)</f>
        <v/>
      </c>
    </row>
    <row r="404" spans="5:10" x14ac:dyDescent="0.25">
      <c r="E404" t="str">
        <f>IF(D404="","",(VLOOKUP(D404,datos!A:D,4,FALSE)))</f>
        <v/>
      </c>
      <c r="G404" s="4"/>
      <c r="I404" s="2"/>
      <c r="J404" s="2" t="str">
        <f>CONCATENATE((IF(A404="","",(VLOOKUP(Novedades!D404,datos!$A$1:$C$46,3,FALSE)))),E404)</f>
        <v/>
      </c>
    </row>
    <row r="405" spans="5:10" x14ac:dyDescent="0.25">
      <c r="E405" t="str">
        <f>IF(D405="","",(VLOOKUP(D405,datos!A:D,4,FALSE)))</f>
        <v/>
      </c>
      <c r="G405" s="4"/>
      <c r="I405" s="2"/>
      <c r="J405" s="2" t="str">
        <f>CONCATENATE((IF(A405="","",(VLOOKUP(Novedades!D405,datos!$A$1:$C$46,3,FALSE)))),E405)</f>
        <v/>
      </c>
    </row>
    <row r="406" spans="5:10" x14ac:dyDescent="0.25">
      <c r="E406" t="str">
        <f>IF(D406="","",(VLOOKUP(D406,datos!A:D,4,FALSE)))</f>
        <v/>
      </c>
      <c r="G406" s="4"/>
      <c r="I406" s="2"/>
      <c r="J406" s="2" t="str">
        <f>CONCATENATE((IF(A406="","",(VLOOKUP(Novedades!D406,datos!$A$1:$C$46,3,FALSE)))),E406)</f>
        <v/>
      </c>
    </row>
    <row r="407" spans="5:10" x14ac:dyDescent="0.25">
      <c r="E407" t="str">
        <f>IF(D407="","",(VLOOKUP(D407,datos!A:D,4,FALSE)))</f>
        <v/>
      </c>
      <c r="G407" s="4"/>
      <c r="I407" s="2"/>
      <c r="J407" s="2" t="str">
        <f>CONCATENATE((IF(A407="","",(VLOOKUP(Novedades!D407,datos!$A$1:$C$46,3,FALSE)))),E407)</f>
        <v/>
      </c>
    </row>
    <row r="408" spans="5:10" x14ac:dyDescent="0.25">
      <c r="E408" t="str">
        <f>IF(D408="","",(VLOOKUP(D408,datos!A:D,4,FALSE)))</f>
        <v/>
      </c>
      <c r="G408" s="4"/>
      <c r="I408" s="2"/>
      <c r="J408" s="2" t="str">
        <f>CONCATENATE((IF(A408="","",(VLOOKUP(Novedades!D408,datos!$A$1:$C$46,3,FALSE)))),E408)</f>
        <v/>
      </c>
    </row>
    <row r="409" spans="5:10" x14ac:dyDescent="0.25">
      <c r="E409" t="str">
        <f>IF(D409="","",(VLOOKUP(D409,datos!A:D,4,FALSE)))</f>
        <v/>
      </c>
      <c r="G409" s="4"/>
      <c r="I409" s="2"/>
      <c r="J409" s="2" t="str">
        <f>CONCATENATE((IF(A409="","",(VLOOKUP(Novedades!D409,datos!$A$1:$C$46,3,FALSE)))),E409)</f>
        <v/>
      </c>
    </row>
    <row r="410" spans="5:10" x14ac:dyDescent="0.25">
      <c r="E410" t="str">
        <f>IF(D410="","",(VLOOKUP(D410,datos!A:D,4,FALSE)))</f>
        <v/>
      </c>
      <c r="G410" s="4"/>
      <c r="I410" s="2"/>
      <c r="J410" s="2" t="str">
        <f>CONCATENATE((IF(A410="","",(VLOOKUP(Novedades!D410,datos!$A$1:$C$46,3,FALSE)))),E410)</f>
        <v/>
      </c>
    </row>
    <row r="411" spans="5:10" x14ac:dyDescent="0.25">
      <c r="E411" t="str">
        <f>IF(D411="","",(VLOOKUP(D411,datos!A:D,4,FALSE)))</f>
        <v/>
      </c>
      <c r="G411" s="4"/>
      <c r="I411" s="2"/>
      <c r="J411" s="2" t="str">
        <f>CONCATENATE((IF(A411="","",(VLOOKUP(Novedades!D411,datos!$A$1:$C$46,3,FALSE)))),E411)</f>
        <v/>
      </c>
    </row>
    <row r="412" spans="5:10" x14ac:dyDescent="0.25">
      <c r="E412" t="str">
        <f>IF(D412="","",(VLOOKUP(D412,datos!A:D,4,FALSE)))</f>
        <v/>
      </c>
      <c r="G412" s="4"/>
      <c r="I412" s="2"/>
      <c r="J412" s="2" t="str">
        <f>CONCATENATE((IF(A412="","",(VLOOKUP(Novedades!D412,datos!$A$1:$C$46,3,FALSE)))),E412)</f>
        <v/>
      </c>
    </row>
    <row r="413" spans="5:10" x14ac:dyDescent="0.25">
      <c r="E413" t="str">
        <f>IF(D413="","",(VLOOKUP(D413,datos!A:D,4,FALSE)))</f>
        <v/>
      </c>
      <c r="G413" s="4"/>
      <c r="I413" s="2"/>
      <c r="J413" s="2" t="str">
        <f>CONCATENATE((IF(A413="","",(VLOOKUP(Novedades!D413,datos!$A$1:$C$46,3,FALSE)))),E413)</f>
        <v/>
      </c>
    </row>
    <row r="414" spans="5:10" x14ac:dyDescent="0.25">
      <c r="E414" t="str">
        <f>IF(D414="","",(VLOOKUP(D414,datos!A:D,4,FALSE)))</f>
        <v/>
      </c>
      <c r="G414" s="4"/>
      <c r="I414" s="2"/>
      <c r="J414" s="2" t="str">
        <f>CONCATENATE((IF(A414="","",(VLOOKUP(Novedades!D414,datos!$A$1:$C$46,3,FALSE)))),E414)</f>
        <v/>
      </c>
    </row>
    <row r="415" spans="5:10" x14ac:dyDescent="0.25">
      <c r="E415" t="str">
        <f>IF(D415="","",(VLOOKUP(D415,datos!A:D,4,FALSE)))</f>
        <v/>
      </c>
      <c r="G415" s="4"/>
      <c r="I415" s="2"/>
      <c r="J415" s="2" t="str">
        <f>CONCATENATE((IF(A415="","",(VLOOKUP(Novedades!D415,datos!$A$1:$C$46,3,FALSE)))),E415)</f>
        <v/>
      </c>
    </row>
    <row r="416" spans="5:10" x14ac:dyDescent="0.25">
      <c r="E416" t="str">
        <f>IF(D416="","",(VLOOKUP(D416,datos!A:D,4,FALSE)))</f>
        <v/>
      </c>
      <c r="G416" s="4"/>
      <c r="I416" s="2"/>
      <c r="J416" s="2" t="str">
        <f>CONCATENATE((IF(A416="","",(VLOOKUP(Novedades!D416,datos!$A$1:$C$46,3,FALSE)))),E416)</f>
        <v/>
      </c>
    </row>
    <row r="417" spans="5:10" x14ac:dyDescent="0.25">
      <c r="E417" t="str">
        <f>IF(D417="","",(VLOOKUP(D417,datos!A:D,4,FALSE)))</f>
        <v/>
      </c>
      <c r="G417" s="4"/>
      <c r="I417" s="2"/>
      <c r="J417" s="2" t="str">
        <f>CONCATENATE((IF(A417="","",(VLOOKUP(Novedades!D417,datos!$A$1:$C$46,3,FALSE)))),E417)</f>
        <v/>
      </c>
    </row>
    <row r="418" spans="5:10" x14ac:dyDescent="0.25">
      <c r="E418" t="str">
        <f>IF(D418="","",(VLOOKUP(D418,datos!A:D,4,FALSE)))</f>
        <v/>
      </c>
      <c r="G418" s="4"/>
      <c r="I418" s="2"/>
      <c r="J418" s="2" t="str">
        <f>CONCATENATE((IF(A418="","",(VLOOKUP(Novedades!D418,datos!$A$1:$C$46,3,FALSE)))),E418)</f>
        <v/>
      </c>
    </row>
    <row r="419" spans="5:10" x14ac:dyDescent="0.25">
      <c r="E419" t="str">
        <f>IF(D419="","",(VLOOKUP(D419,datos!A:D,4,FALSE)))</f>
        <v/>
      </c>
      <c r="G419" s="4"/>
      <c r="I419" s="2"/>
      <c r="J419" s="2" t="str">
        <f>CONCATENATE((IF(A419="","",(VLOOKUP(Novedades!D419,datos!$A$1:$C$46,3,FALSE)))),E419)</f>
        <v/>
      </c>
    </row>
    <row r="420" spans="5:10" x14ac:dyDescent="0.25">
      <c r="E420" t="str">
        <f>IF(D420="","",(VLOOKUP(D420,datos!A:D,4,FALSE)))</f>
        <v/>
      </c>
      <c r="G420" s="4"/>
      <c r="I420" s="2"/>
      <c r="J420" s="2" t="str">
        <f>CONCATENATE((IF(A420="","",(VLOOKUP(Novedades!D420,datos!$A$1:$C$46,3,FALSE)))),E420)</f>
        <v/>
      </c>
    </row>
    <row r="421" spans="5:10" x14ac:dyDescent="0.25">
      <c r="E421" t="str">
        <f>IF(D421="","",(VLOOKUP(D421,datos!A:D,4,FALSE)))</f>
        <v/>
      </c>
      <c r="G421" s="4"/>
      <c r="I421" s="2"/>
      <c r="J421" s="2" t="str">
        <f>CONCATENATE((IF(A421="","",(VLOOKUP(Novedades!D421,datos!$A$1:$C$46,3,FALSE)))),E421)</f>
        <v/>
      </c>
    </row>
    <row r="422" spans="5:10" x14ac:dyDescent="0.25">
      <c r="E422" t="str">
        <f>IF(D422="","",(VLOOKUP(D422,datos!A:D,4,FALSE)))</f>
        <v/>
      </c>
      <c r="G422" s="4"/>
      <c r="I422" s="2"/>
      <c r="J422" s="2" t="str">
        <f>CONCATENATE((IF(A422="","",(VLOOKUP(Novedades!D422,datos!$A$1:$C$46,3,FALSE)))),E422)</f>
        <v/>
      </c>
    </row>
    <row r="423" spans="5:10" x14ac:dyDescent="0.25">
      <c r="E423" t="str">
        <f>IF(D423="","",(VLOOKUP(D423,datos!A:D,4,FALSE)))</f>
        <v/>
      </c>
      <c r="G423" s="4"/>
      <c r="I423" s="2"/>
      <c r="J423" s="2" t="str">
        <f>CONCATENATE((IF(A423="","",(VLOOKUP(Novedades!D423,datos!$A$1:$C$46,3,FALSE)))),E423)</f>
        <v/>
      </c>
    </row>
    <row r="424" spans="5:10" x14ac:dyDescent="0.25">
      <c r="E424" t="str">
        <f>IF(D424="","",(VLOOKUP(D424,datos!A:D,4,FALSE)))</f>
        <v/>
      </c>
      <c r="G424" s="4"/>
      <c r="I424" s="2"/>
      <c r="J424" s="2" t="str">
        <f>CONCATENATE((IF(A424="","",(VLOOKUP(Novedades!D424,datos!$A$1:$C$46,3,FALSE)))),E424)</f>
        <v/>
      </c>
    </row>
    <row r="425" spans="5:10" x14ac:dyDescent="0.25">
      <c r="E425" t="str">
        <f>IF(D425="","",(VLOOKUP(D425,datos!A:D,4,FALSE)))</f>
        <v/>
      </c>
      <c r="G425" s="4"/>
      <c r="I425" s="2"/>
      <c r="J425" s="2" t="str">
        <f>CONCATENATE((IF(A425="","",(VLOOKUP(Novedades!D425,datos!$A$1:$C$46,3,FALSE)))),E425)</f>
        <v/>
      </c>
    </row>
    <row r="426" spans="5:10" x14ac:dyDescent="0.25">
      <c r="E426" t="str">
        <f>IF(D426="","",(VLOOKUP(D426,datos!A:D,4,FALSE)))</f>
        <v/>
      </c>
      <c r="G426" s="4"/>
      <c r="I426" s="2"/>
      <c r="J426" s="2" t="str">
        <f>CONCATENATE((IF(A426="","",(VLOOKUP(Novedades!D426,datos!$A$1:$C$46,3,FALSE)))),E426)</f>
        <v/>
      </c>
    </row>
    <row r="427" spans="5:10" x14ac:dyDescent="0.25">
      <c r="E427" t="str">
        <f>IF(D427="","",(VLOOKUP(D427,datos!A:D,4,FALSE)))</f>
        <v/>
      </c>
      <c r="G427" s="4"/>
      <c r="I427" s="2"/>
      <c r="J427" s="2" t="str">
        <f>CONCATENATE((IF(A427="","",(VLOOKUP(Novedades!D427,datos!$A$1:$C$46,3,FALSE)))),E427)</f>
        <v/>
      </c>
    </row>
    <row r="428" spans="5:10" x14ac:dyDescent="0.25">
      <c r="E428" t="str">
        <f>IF(D428="","",(VLOOKUP(D428,datos!A:D,4,FALSE)))</f>
        <v/>
      </c>
      <c r="G428" s="4"/>
      <c r="I428" s="2"/>
      <c r="J428" s="2" t="str">
        <f>CONCATENATE((IF(A428="","",(VLOOKUP(Novedades!D428,datos!$A$1:$C$46,3,FALSE)))),E428)</f>
        <v/>
      </c>
    </row>
    <row r="429" spans="5:10" x14ac:dyDescent="0.25">
      <c r="E429" t="str">
        <f>IF(D429="","",(VLOOKUP(D429,datos!A:D,4,FALSE)))</f>
        <v/>
      </c>
      <c r="G429" s="4"/>
      <c r="I429" s="2"/>
      <c r="J429" s="2" t="str">
        <f>CONCATENATE((IF(A429="","",(VLOOKUP(Novedades!D429,datos!$A$1:$C$46,3,FALSE)))),E429)</f>
        <v/>
      </c>
    </row>
    <row r="430" spans="5:10" x14ac:dyDescent="0.25">
      <c r="E430" t="str">
        <f>IF(D430="","",(VLOOKUP(D430,datos!A:D,4,FALSE)))</f>
        <v/>
      </c>
      <c r="G430" s="4"/>
      <c r="I430" s="2"/>
      <c r="J430" s="2" t="str">
        <f>CONCATENATE((IF(A430="","",(VLOOKUP(Novedades!D430,datos!$A$1:$C$46,3,FALSE)))),E430)</f>
        <v/>
      </c>
    </row>
    <row r="431" spans="5:10" x14ac:dyDescent="0.25">
      <c r="E431" t="str">
        <f>IF(D431="","",(VLOOKUP(D431,datos!A:D,4,FALSE)))</f>
        <v/>
      </c>
      <c r="G431" s="4"/>
      <c r="I431" s="2"/>
      <c r="J431" s="2" t="str">
        <f>CONCATENATE((IF(A431="","",(VLOOKUP(Novedades!D431,datos!$A$1:$C$46,3,FALSE)))),E431)</f>
        <v/>
      </c>
    </row>
    <row r="432" spans="5:10" x14ac:dyDescent="0.25">
      <c r="E432" t="str">
        <f>IF(D432="","",(VLOOKUP(D432,datos!A:D,4,FALSE)))</f>
        <v/>
      </c>
      <c r="G432" s="4"/>
      <c r="I432" s="2"/>
      <c r="J432" s="2" t="str">
        <f>CONCATENATE((IF(A432="","",(VLOOKUP(Novedades!D432,datos!$A$1:$C$46,3,FALSE)))),E432)</f>
        <v/>
      </c>
    </row>
    <row r="433" spans="5:10" x14ac:dyDescent="0.25">
      <c r="E433" t="str">
        <f>IF(D433="","",(VLOOKUP(D433,datos!A:D,4,FALSE)))</f>
        <v/>
      </c>
      <c r="G433" s="4"/>
      <c r="I433" s="2"/>
      <c r="J433" s="2" t="str">
        <f>CONCATENATE((IF(A433="","",(VLOOKUP(Novedades!D433,datos!$A$1:$C$46,3,FALSE)))),E433)</f>
        <v/>
      </c>
    </row>
    <row r="434" spans="5:10" x14ac:dyDescent="0.25">
      <c r="E434" t="str">
        <f>IF(D434="","",(VLOOKUP(D434,datos!A:D,4,FALSE)))</f>
        <v/>
      </c>
      <c r="G434" s="4"/>
      <c r="I434" s="2"/>
      <c r="J434" s="2" t="str">
        <f>CONCATENATE((IF(A434="","",(VLOOKUP(Novedades!D434,datos!$A$1:$C$46,3,FALSE)))),E434)</f>
        <v/>
      </c>
    </row>
    <row r="435" spans="5:10" x14ac:dyDescent="0.25">
      <c r="E435" t="str">
        <f>IF(D435="","",(VLOOKUP(D435,datos!A:D,4,FALSE)))</f>
        <v/>
      </c>
      <c r="G435" s="4"/>
      <c r="I435" s="2"/>
      <c r="J435" s="2" t="str">
        <f>CONCATENATE((IF(A435="","",(VLOOKUP(Novedades!D435,datos!$A$1:$C$46,3,FALSE)))),E435)</f>
        <v/>
      </c>
    </row>
    <row r="436" spans="5:10" x14ac:dyDescent="0.25">
      <c r="E436" t="str">
        <f>IF(D436="","",(VLOOKUP(D436,datos!A:D,4,FALSE)))</f>
        <v/>
      </c>
      <c r="G436" s="4"/>
      <c r="I436" s="2"/>
      <c r="J436" s="2" t="str">
        <f>CONCATENATE((IF(A436="","",(VLOOKUP(Novedades!D436,datos!$A$1:$C$46,3,FALSE)))),E436)</f>
        <v/>
      </c>
    </row>
    <row r="437" spans="5:10" x14ac:dyDescent="0.25">
      <c r="E437" t="str">
        <f>IF(D437="","",(VLOOKUP(D437,datos!A:D,4,FALSE)))</f>
        <v/>
      </c>
      <c r="G437" s="4"/>
      <c r="I437" s="2"/>
      <c r="J437" s="2" t="str">
        <f>CONCATENATE((IF(A437="","",(VLOOKUP(Novedades!D437,datos!$A$1:$C$46,3,FALSE)))),E437)</f>
        <v/>
      </c>
    </row>
    <row r="438" spans="5:10" x14ac:dyDescent="0.25">
      <c r="E438" t="str">
        <f>IF(D438="","",(VLOOKUP(D438,datos!A:D,4,FALSE)))</f>
        <v/>
      </c>
      <c r="G438" s="4"/>
      <c r="I438" s="2"/>
      <c r="J438" s="2" t="str">
        <f>CONCATENATE((IF(A438="","",(VLOOKUP(Novedades!D438,datos!$A$1:$C$46,3,FALSE)))),E438)</f>
        <v/>
      </c>
    </row>
    <row r="439" spans="5:10" x14ac:dyDescent="0.25">
      <c r="E439" t="str">
        <f>IF(D439="","",(VLOOKUP(D439,datos!A:D,4,FALSE)))</f>
        <v/>
      </c>
      <c r="G439" s="4"/>
      <c r="I439" s="2"/>
      <c r="J439" s="2" t="str">
        <f>CONCATENATE((IF(A439="","",(VLOOKUP(Novedades!D439,datos!$A$1:$C$46,3,FALSE)))),E439)</f>
        <v/>
      </c>
    </row>
    <row r="440" spans="5:10" x14ac:dyDescent="0.25">
      <c r="E440" t="str">
        <f>IF(D440="","",(VLOOKUP(D440,datos!A:D,4,FALSE)))</f>
        <v/>
      </c>
      <c r="G440" s="4"/>
      <c r="I440" s="2"/>
      <c r="J440" s="2" t="str">
        <f>CONCATENATE((IF(A440="","",(VLOOKUP(Novedades!D440,datos!$A$1:$C$46,3,FALSE)))),E440)</f>
        <v/>
      </c>
    </row>
    <row r="441" spans="5:10" x14ac:dyDescent="0.25">
      <c r="E441" t="str">
        <f>IF(D441="","",(VLOOKUP(D441,datos!A:D,4,FALSE)))</f>
        <v/>
      </c>
      <c r="G441" s="4"/>
      <c r="I441" s="2"/>
      <c r="J441" s="2" t="str">
        <f>CONCATENATE((IF(A441="","",(VLOOKUP(Novedades!D441,datos!$A$1:$C$46,3,FALSE)))),E441)</f>
        <v/>
      </c>
    </row>
    <row r="442" spans="5:10" x14ac:dyDescent="0.25">
      <c r="E442" t="str">
        <f>IF(D442="","",(VLOOKUP(D442,datos!A:D,4,FALSE)))</f>
        <v/>
      </c>
      <c r="G442" s="4"/>
      <c r="I442" s="2"/>
      <c r="J442" s="2" t="str">
        <f>CONCATENATE((IF(A442="","",(VLOOKUP(Novedades!D442,datos!$A$1:$C$46,3,FALSE)))),E442)</f>
        <v/>
      </c>
    </row>
    <row r="443" spans="5:10" x14ac:dyDescent="0.25">
      <c r="E443" t="str">
        <f>IF(D443="","",(VLOOKUP(D443,datos!A:D,4,FALSE)))</f>
        <v/>
      </c>
      <c r="G443" s="4"/>
      <c r="I443" s="2"/>
      <c r="J443" s="2" t="str">
        <f>CONCATENATE((IF(A443="","",(VLOOKUP(Novedades!D443,datos!$A$1:$C$46,3,FALSE)))),E443)</f>
        <v/>
      </c>
    </row>
    <row r="444" spans="5:10" x14ac:dyDescent="0.25">
      <c r="E444" t="str">
        <f>IF(D444="","",(VLOOKUP(D444,datos!A:D,4,FALSE)))</f>
        <v/>
      </c>
      <c r="G444" s="4"/>
      <c r="I444" s="2"/>
      <c r="J444" s="2" t="str">
        <f>CONCATENATE((IF(A444="","",(VLOOKUP(Novedades!D444,datos!$A$1:$C$46,3,FALSE)))),E444)</f>
        <v/>
      </c>
    </row>
    <row r="445" spans="5:10" x14ac:dyDescent="0.25">
      <c r="E445" t="str">
        <f>IF(D445="","",(VLOOKUP(D445,datos!A:D,4,FALSE)))</f>
        <v/>
      </c>
      <c r="G445" s="4"/>
      <c r="I445" s="2"/>
      <c r="J445" s="2" t="str">
        <f>CONCATENATE((IF(A445="","",(VLOOKUP(Novedades!D445,datos!$A$1:$C$46,3,FALSE)))),E445)</f>
        <v/>
      </c>
    </row>
    <row r="446" spans="5:10" x14ac:dyDescent="0.25">
      <c r="E446" t="str">
        <f>IF(D446="","",(VLOOKUP(D446,datos!A:D,4,FALSE)))</f>
        <v/>
      </c>
      <c r="G446" s="4"/>
      <c r="I446" s="2"/>
      <c r="J446" s="2" t="str">
        <f>CONCATENATE((IF(A446="","",(VLOOKUP(Novedades!D446,datos!$A$1:$C$46,3,FALSE)))),E446)</f>
        <v/>
      </c>
    </row>
    <row r="447" spans="5:10" x14ac:dyDescent="0.25">
      <c r="E447" t="str">
        <f>IF(D447="","",(VLOOKUP(D447,datos!A:D,4,FALSE)))</f>
        <v/>
      </c>
      <c r="G447" s="4"/>
      <c r="I447" s="2"/>
      <c r="J447" s="2" t="str">
        <f>CONCATENATE((IF(A447="","",(VLOOKUP(Novedades!D447,datos!$A$1:$C$46,3,FALSE)))),E447)</f>
        <v/>
      </c>
    </row>
    <row r="448" spans="5:10" x14ac:dyDescent="0.25">
      <c r="E448" t="str">
        <f>IF(D448="","",(VLOOKUP(D448,datos!A:D,4,FALSE)))</f>
        <v/>
      </c>
      <c r="G448" s="4"/>
      <c r="I448" s="2"/>
      <c r="J448" s="2" t="str">
        <f>CONCATENATE((IF(A448="","",(VLOOKUP(Novedades!D448,datos!$A$1:$C$46,3,FALSE)))),E448)</f>
        <v/>
      </c>
    </row>
    <row r="449" spans="5:10" x14ac:dyDescent="0.25">
      <c r="E449" t="str">
        <f>IF(D449="","",(VLOOKUP(D449,datos!A:D,4,FALSE)))</f>
        <v/>
      </c>
      <c r="G449" s="4"/>
      <c r="I449" s="2"/>
      <c r="J449" s="2" t="str">
        <f>CONCATENATE((IF(A449="","",(VLOOKUP(Novedades!D449,datos!$A$1:$C$46,3,FALSE)))),E449)</f>
        <v/>
      </c>
    </row>
    <row r="450" spans="5:10" x14ac:dyDescent="0.25">
      <c r="E450" t="str">
        <f>IF(D450="","",(VLOOKUP(D450,datos!A:D,4,FALSE)))</f>
        <v/>
      </c>
      <c r="G450" s="4"/>
      <c r="I450" s="2"/>
      <c r="J450" s="2" t="str">
        <f>CONCATENATE((IF(A450="","",(VLOOKUP(Novedades!D450,datos!$A$1:$C$46,3,FALSE)))),E450)</f>
        <v/>
      </c>
    </row>
    <row r="451" spans="5:10" x14ac:dyDescent="0.25">
      <c r="E451" t="str">
        <f>IF(D451="","",(VLOOKUP(D451,datos!A:D,4,FALSE)))</f>
        <v/>
      </c>
      <c r="G451" s="4"/>
      <c r="I451" s="2"/>
      <c r="J451" s="2" t="str">
        <f>CONCATENATE((IF(A451="","",(VLOOKUP(Novedades!D451,datos!$A$1:$C$46,3,FALSE)))),E451)</f>
        <v/>
      </c>
    </row>
    <row r="452" spans="5:10" x14ac:dyDescent="0.25">
      <c r="E452" t="str">
        <f>IF(D452="","",(VLOOKUP(D452,datos!A:D,4,FALSE)))</f>
        <v/>
      </c>
      <c r="G452" s="4"/>
      <c r="I452" s="2"/>
      <c r="J452" s="2" t="str">
        <f>CONCATENATE((IF(A452="","",(VLOOKUP(Novedades!D452,datos!$A$1:$C$46,3,FALSE)))),E452)</f>
        <v/>
      </c>
    </row>
    <row r="453" spans="5:10" x14ac:dyDescent="0.25">
      <c r="E453" t="str">
        <f>IF(D453="","",(VLOOKUP(D453,datos!A:D,4,FALSE)))</f>
        <v/>
      </c>
      <c r="G453" s="4"/>
      <c r="I453" s="2"/>
      <c r="J453" s="2" t="str">
        <f>CONCATENATE((IF(A453="","",(VLOOKUP(Novedades!D453,datos!$A$1:$C$46,3,FALSE)))),E453)</f>
        <v/>
      </c>
    </row>
    <row r="454" spans="5:10" x14ac:dyDescent="0.25">
      <c r="E454" t="str">
        <f>IF(D454="","",(VLOOKUP(D454,datos!A:D,4,FALSE)))</f>
        <v/>
      </c>
      <c r="G454" s="4"/>
      <c r="I454" s="2"/>
      <c r="J454" s="2" t="str">
        <f>CONCATENATE((IF(A454="","",(VLOOKUP(Novedades!D454,datos!$A$1:$C$46,3,FALSE)))),E454)</f>
        <v/>
      </c>
    </row>
    <row r="455" spans="5:10" x14ac:dyDescent="0.25">
      <c r="E455" t="str">
        <f>IF(D455="","",(VLOOKUP(D455,datos!A:D,4,FALSE)))</f>
        <v/>
      </c>
      <c r="G455" s="4"/>
      <c r="I455" s="2"/>
      <c r="J455" s="2" t="str">
        <f>CONCATENATE((IF(A455="","",(VLOOKUP(Novedades!D455,datos!$A$1:$C$46,3,FALSE)))),E455)</f>
        <v/>
      </c>
    </row>
    <row r="456" spans="5:10" x14ac:dyDescent="0.25">
      <c r="E456" t="str">
        <f>IF(D456="","",(VLOOKUP(D456,datos!A:D,4,FALSE)))</f>
        <v/>
      </c>
      <c r="G456" s="4"/>
      <c r="I456" s="2"/>
      <c r="J456" s="2" t="str">
        <f>CONCATENATE((IF(A456="","",(VLOOKUP(Novedades!D456,datos!$A$1:$C$46,3,FALSE)))),E456)</f>
        <v/>
      </c>
    </row>
    <row r="457" spans="5:10" x14ac:dyDescent="0.25">
      <c r="E457" t="str">
        <f>IF(D457="","",(VLOOKUP(D457,datos!A:D,4,FALSE)))</f>
        <v/>
      </c>
      <c r="G457" s="4"/>
      <c r="I457" s="2"/>
      <c r="J457" s="2" t="str">
        <f>CONCATENATE((IF(A457="","",(VLOOKUP(Novedades!D457,datos!$A$1:$C$46,3,FALSE)))),E457)</f>
        <v/>
      </c>
    </row>
    <row r="458" spans="5:10" x14ac:dyDescent="0.25">
      <c r="E458" t="str">
        <f>IF(D458="","",(VLOOKUP(D458,datos!A:D,4,FALSE)))</f>
        <v/>
      </c>
      <c r="G458" s="4"/>
      <c r="I458" s="2"/>
      <c r="J458" s="2" t="str">
        <f>CONCATENATE((IF(A458="","",(VLOOKUP(Novedades!D458,datos!$A$1:$C$46,3,FALSE)))),E458)</f>
        <v/>
      </c>
    </row>
    <row r="459" spans="5:10" x14ac:dyDescent="0.25">
      <c r="E459" t="str">
        <f>IF(D459="","",(VLOOKUP(D459,datos!A:D,4,FALSE)))</f>
        <v/>
      </c>
      <c r="G459" s="4"/>
      <c r="I459" s="2"/>
      <c r="J459" s="2" t="str">
        <f>CONCATENATE((IF(A459="","",(VLOOKUP(Novedades!D459,datos!$A$1:$C$46,3,FALSE)))),E459)</f>
        <v/>
      </c>
    </row>
    <row r="460" spans="5:10" x14ac:dyDescent="0.25">
      <c r="E460" t="str">
        <f>IF(D460="","",(VLOOKUP(D460,datos!A:D,4,FALSE)))</f>
        <v/>
      </c>
      <c r="G460" s="4"/>
      <c r="I460" s="2"/>
      <c r="J460" s="2" t="str">
        <f>CONCATENATE((IF(A460="","",(VLOOKUP(Novedades!D460,datos!$A$1:$C$46,3,FALSE)))),E460)</f>
        <v/>
      </c>
    </row>
    <row r="461" spans="5:10" x14ac:dyDescent="0.25">
      <c r="E461" t="str">
        <f>IF(D461="","",(VLOOKUP(D461,datos!A:D,4,FALSE)))</f>
        <v/>
      </c>
      <c r="G461" s="4"/>
      <c r="I461" s="2"/>
      <c r="J461" s="2" t="str">
        <f>CONCATENATE((IF(A461="","",(VLOOKUP(Novedades!D461,datos!$A$1:$C$46,3,FALSE)))),E461)</f>
        <v/>
      </c>
    </row>
    <row r="462" spans="5:10" x14ac:dyDescent="0.25">
      <c r="E462" t="str">
        <f>IF(D462="","",(VLOOKUP(D462,datos!A:D,4,FALSE)))</f>
        <v/>
      </c>
      <c r="G462" s="4"/>
      <c r="I462" s="2"/>
      <c r="J462" s="2" t="str">
        <f>CONCATENATE((IF(A462="","",(VLOOKUP(Novedades!D462,datos!$A$1:$C$46,3,FALSE)))),E462)</f>
        <v/>
      </c>
    </row>
    <row r="463" spans="5:10" x14ac:dyDescent="0.25">
      <c r="E463" t="str">
        <f>IF(D463="","",(VLOOKUP(D463,datos!A:D,4,FALSE)))</f>
        <v/>
      </c>
      <c r="G463" s="4"/>
      <c r="I463" s="2"/>
      <c r="J463" s="2" t="str">
        <f>CONCATENATE((IF(A463="","",(VLOOKUP(Novedades!D463,datos!$A$1:$C$46,3,FALSE)))),E463)</f>
        <v/>
      </c>
    </row>
    <row r="464" spans="5:10" x14ac:dyDescent="0.25">
      <c r="E464" t="str">
        <f>IF(D464="","",(VLOOKUP(D464,datos!A:D,4,FALSE)))</f>
        <v/>
      </c>
      <c r="G464" s="4"/>
      <c r="I464" s="2"/>
      <c r="J464" s="2" t="str">
        <f>CONCATENATE((IF(A464="","",(VLOOKUP(Novedades!D464,datos!$A$1:$C$46,3,FALSE)))),E464)</f>
        <v/>
      </c>
    </row>
    <row r="465" spans="5:10" x14ac:dyDescent="0.25">
      <c r="E465" t="str">
        <f>IF(D465="","",(VLOOKUP(D465,datos!A:D,4,FALSE)))</f>
        <v/>
      </c>
      <c r="G465" s="4"/>
      <c r="I465" s="2"/>
      <c r="J465" s="2" t="str">
        <f>CONCATENATE((IF(A465="","",(VLOOKUP(Novedades!D465,datos!$A$1:$C$46,3,FALSE)))),E465)</f>
        <v/>
      </c>
    </row>
    <row r="466" spans="5:10" x14ac:dyDescent="0.25">
      <c r="E466" t="str">
        <f>IF(D466="","",(VLOOKUP(D466,datos!A:D,4,FALSE)))</f>
        <v/>
      </c>
      <c r="G466" s="4"/>
      <c r="I466" s="2"/>
      <c r="J466" s="2" t="str">
        <f>CONCATENATE((IF(A466="","",(VLOOKUP(Novedades!D466,datos!$A$1:$C$46,3,FALSE)))),E466)</f>
        <v/>
      </c>
    </row>
    <row r="467" spans="5:10" x14ac:dyDescent="0.25">
      <c r="E467" t="str">
        <f>IF(D467="","",(VLOOKUP(D467,datos!A:D,4,FALSE)))</f>
        <v/>
      </c>
      <c r="G467" s="4"/>
      <c r="I467" s="2"/>
      <c r="J467" s="2" t="str">
        <f>CONCATENATE((IF(A467="","",(VLOOKUP(Novedades!D467,datos!$A$1:$C$46,3,FALSE)))),E467)</f>
        <v/>
      </c>
    </row>
    <row r="468" spans="5:10" x14ac:dyDescent="0.25">
      <c r="E468" t="str">
        <f>IF(D468="","",(VLOOKUP(D468,datos!A:D,4,FALSE)))</f>
        <v/>
      </c>
      <c r="G468" s="4"/>
      <c r="I468" s="2"/>
      <c r="J468" s="2" t="str">
        <f>CONCATENATE((IF(A468="","",(VLOOKUP(Novedades!D468,datos!$A$1:$C$46,3,FALSE)))),E468)</f>
        <v/>
      </c>
    </row>
    <row r="469" spans="5:10" x14ac:dyDescent="0.25">
      <c r="E469" t="str">
        <f>IF(D469="","",(VLOOKUP(D469,datos!A:D,4,FALSE)))</f>
        <v/>
      </c>
      <c r="G469" s="4"/>
      <c r="I469" s="2"/>
      <c r="J469" s="2" t="str">
        <f>CONCATENATE((IF(A469="","",(VLOOKUP(Novedades!D469,datos!$A$1:$C$46,3,FALSE)))),E469)</f>
        <v/>
      </c>
    </row>
    <row r="470" spans="5:10" x14ac:dyDescent="0.25">
      <c r="E470" t="str">
        <f>IF(D470="","",(VLOOKUP(D470,datos!A:D,4,FALSE)))</f>
        <v/>
      </c>
      <c r="G470" s="4"/>
      <c r="I470" s="2"/>
      <c r="J470" s="2" t="str">
        <f>CONCATENATE((IF(A470="","",(VLOOKUP(Novedades!D470,datos!$A$1:$C$46,3,FALSE)))),E470)</f>
        <v/>
      </c>
    </row>
    <row r="471" spans="5:10" x14ac:dyDescent="0.25">
      <c r="E471" t="str">
        <f>IF(D471="","",(VLOOKUP(D471,datos!A:D,4,FALSE)))</f>
        <v/>
      </c>
      <c r="G471" s="4"/>
      <c r="I471" s="2"/>
      <c r="J471" s="2" t="str">
        <f>CONCATENATE((IF(A471="","",(VLOOKUP(Novedades!D471,datos!$A$1:$C$46,3,FALSE)))),E471)</f>
        <v/>
      </c>
    </row>
    <row r="472" spans="5:10" x14ac:dyDescent="0.25">
      <c r="E472" t="str">
        <f>IF(D472="","",(VLOOKUP(D472,datos!A:D,4,FALSE)))</f>
        <v/>
      </c>
      <c r="G472" s="4"/>
      <c r="I472" s="2"/>
      <c r="J472" s="2" t="str">
        <f>CONCATENATE((IF(A472="","",(VLOOKUP(Novedades!D472,datos!$A$1:$C$46,3,FALSE)))),E472)</f>
        <v/>
      </c>
    </row>
    <row r="473" spans="5:10" x14ac:dyDescent="0.25">
      <c r="E473" t="str">
        <f>IF(D473="","",(VLOOKUP(D473,datos!A:D,4,FALSE)))</f>
        <v/>
      </c>
      <c r="G473" s="4"/>
      <c r="I473" s="2"/>
      <c r="J473" s="2" t="str">
        <f>CONCATENATE((IF(A473="","",(VLOOKUP(Novedades!D473,datos!$A$1:$C$46,3,FALSE)))),E473)</f>
        <v/>
      </c>
    </row>
    <row r="474" spans="5:10" x14ac:dyDescent="0.25">
      <c r="E474" t="str">
        <f>IF(D474="","",(VLOOKUP(D474,datos!A:D,4,FALSE)))</f>
        <v/>
      </c>
      <c r="G474" s="4"/>
      <c r="I474" s="2"/>
      <c r="J474" s="2" t="str">
        <f>CONCATENATE((IF(A474="","",(VLOOKUP(Novedades!D474,datos!$A$1:$C$46,3,FALSE)))),E474)</f>
        <v/>
      </c>
    </row>
    <row r="475" spans="5:10" x14ac:dyDescent="0.25">
      <c r="E475" t="str">
        <f>IF(D475="","",(VLOOKUP(D475,datos!A:D,4,FALSE)))</f>
        <v/>
      </c>
      <c r="G475" s="4"/>
      <c r="I475" s="2"/>
      <c r="J475" s="2" t="str">
        <f>CONCATENATE((IF(A475="","",(VLOOKUP(Novedades!D475,datos!$A$1:$C$46,3,FALSE)))),E475)</f>
        <v/>
      </c>
    </row>
    <row r="476" spans="5:10" x14ac:dyDescent="0.25">
      <c r="E476" t="str">
        <f>IF(D476="","",(VLOOKUP(D476,datos!A:D,4,FALSE)))</f>
        <v/>
      </c>
      <c r="G476" s="4"/>
      <c r="I476" s="2"/>
      <c r="J476" s="2" t="str">
        <f>CONCATENATE((IF(A476="","",(VLOOKUP(Novedades!D476,datos!$A$1:$C$46,3,FALSE)))),E476)</f>
        <v/>
      </c>
    </row>
    <row r="477" spans="5:10" x14ac:dyDescent="0.25">
      <c r="E477" t="str">
        <f>IF(D477="","",(VLOOKUP(D477,datos!A:D,4,FALSE)))</f>
        <v/>
      </c>
      <c r="G477" s="4"/>
      <c r="I477" s="2"/>
      <c r="J477" s="2" t="str">
        <f>CONCATENATE((IF(A477="","",(VLOOKUP(Novedades!D477,datos!$A$1:$C$46,3,FALSE)))),E477)</f>
        <v/>
      </c>
    </row>
    <row r="478" spans="5:10" x14ac:dyDescent="0.25">
      <c r="E478" t="str">
        <f>IF(D478="","",(VLOOKUP(D478,datos!A:D,4,FALSE)))</f>
        <v/>
      </c>
      <c r="G478" s="4"/>
      <c r="I478" s="2"/>
      <c r="J478" s="2" t="str">
        <f>CONCATENATE((IF(A478="","",(VLOOKUP(Novedades!D478,datos!$A$1:$C$46,3,FALSE)))),E478)</f>
        <v/>
      </c>
    </row>
    <row r="479" spans="5:10" x14ac:dyDescent="0.25">
      <c r="E479" t="str">
        <f>IF(D479="","",(VLOOKUP(D479,datos!A:D,4,FALSE)))</f>
        <v/>
      </c>
      <c r="G479" s="4"/>
      <c r="I479" s="2"/>
      <c r="J479" s="2" t="str">
        <f>CONCATENATE((IF(A479="","",(VLOOKUP(Novedades!D479,datos!$A$1:$C$46,3,FALSE)))),E479)</f>
        <v/>
      </c>
    </row>
    <row r="480" spans="5:10" x14ac:dyDescent="0.25">
      <c r="E480" t="str">
        <f>IF(D480="","",(VLOOKUP(D480,datos!A:D,4,FALSE)))</f>
        <v/>
      </c>
      <c r="G480" s="4"/>
      <c r="I480" s="2"/>
      <c r="J480" s="2" t="str">
        <f>CONCATENATE((IF(A480="","",(VLOOKUP(Novedades!D480,datos!$A$1:$C$46,3,FALSE)))),E480)</f>
        <v/>
      </c>
    </row>
    <row r="481" spans="5:10" x14ac:dyDescent="0.25">
      <c r="E481" t="str">
        <f>IF(D481="","",(VLOOKUP(D481,datos!A:D,4,FALSE)))</f>
        <v/>
      </c>
      <c r="G481" s="4"/>
      <c r="I481" s="2"/>
      <c r="J481" s="2" t="str">
        <f>CONCATENATE((IF(A481="","",(VLOOKUP(Novedades!D481,datos!$A$1:$C$46,3,FALSE)))),E481)</f>
        <v/>
      </c>
    </row>
    <row r="482" spans="5:10" x14ac:dyDescent="0.25">
      <c r="E482" t="str">
        <f>IF(D482="","",(VLOOKUP(D482,datos!A:D,4,FALSE)))</f>
        <v/>
      </c>
      <c r="G482" s="4"/>
      <c r="I482" s="2"/>
      <c r="J482" s="2" t="str">
        <f>CONCATENATE((IF(A482="","",(VLOOKUP(Novedades!D482,datos!$A$1:$C$46,3,FALSE)))),E482)</f>
        <v/>
      </c>
    </row>
    <row r="483" spans="5:10" x14ac:dyDescent="0.25">
      <c r="E483" t="str">
        <f>IF(D483="","",(VLOOKUP(D483,datos!A:D,4,FALSE)))</f>
        <v/>
      </c>
      <c r="G483" s="4"/>
      <c r="I483" s="2"/>
      <c r="J483" s="2" t="str">
        <f>CONCATENATE((IF(A483="","",(VLOOKUP(Novedades!D483,datos!$A$1:$C$46,3,FALSE)))),E483)</f>
        <v/>
      </c>
    </row>
    <row r="484" spans="5:10" x14ac:dyDescent="0.25">
      <c r="E484" t="str">
        <f>IF(D484="","",(VLOOKUP(D484,datos!A:D,4,FALSE)))</f>
        <v/>
      </c>
      <c r="G484" s="4"/>
      <c r="I484" s="2"/>
      <c r="J484" s="2" t="str">
        <f>CONCATENATE((IF(A484="","",(VLOOKUP(Novedades!D484,datos!$A$1:$C$46,3,FALSE)))),E484)</f>
        <v/>
      </c>
    </row>
    <row r="485" spans="5:10" x14ac:dyDescent="0.25">
      <c r="E485" t="str">
        <f>IF(D485="","",(VLOOKUP(D485,datos!A:D,4,FALSE)))</f>
        <v/>
      </c>
      <c r="G485" s="4"/>
      <c r="I485" s="2"/>
      <c r="J485" s="2" t="str">
        <f>CONCATENATE((IF(A485="","",(VLOOKUP(Novedades!D485,datos!$A$1:$C$46,3,FALSE)))),E485)</f>
        <v/>
      </c>
    </row>
    <row r="486" spans="5:10" x14ac:dyDescent="0.25">
      <c r="E486" t="str">
        <f>IF(D486="","",(VLOOKUP(D486,datos!A:D,4,FALSE)))</f>
        <v/>
      </c>
      <c r="G486" s="4"/>
      <c r="I486" s="2"/>
      <c r="J486" s="2" t="str">
        <f>CONCATENATE((IF(A486="","",(VLOOKUP(Novedades!D486,datos!$A$1:$C$46,3,FALSE)))),E486)</f>
        <v/>
      </c>
    </row>
    <row r="487" spans="5:10" x14ac:dyDescent="0.25">
      <c r="E487" t="str">
        <f>IF(D487="","",(VLOOKUP(D487,datos!A:D,4,FALSE)))</f>
        <v/>
      </c>
      <c r="G487" s="4"/>
      <c r="I487" s="2"/>
      <c r="J487" s="2" t="str">
        <f>CONCATENATE((IF(A487="","",(VLOOKUP(Novedades!D487,datos!$A$1:$C$46,3,FALSE)))),E487)</f>
        <v/>
      </c>
    </row>
    <row r="488" spans="5:10" x14ac:dyDescent="0.25">
      <c r="E488" t="str">
        <f>IF(D488="","",(VLOOKUP(D488,datos!A:D,4,FALSE)))</f>
        <v/>
      </c>
      <c r="G488" s="4"/>
      <c r="I488" s="2"/>
      <c r="J488" s="2" t="str">
        <f>CONCATENATE((IF(A488="","",(VLOOKUP(Novedades!D488,datos!$A$1:$C$46,3,FALSE)))),E488)</f>
        <v/>
      </c>
    </row>
    <row r="489" spans="5:10" x14ac:dyDescent="0.25">
      <c r="E489" t="str">
        <f>IF(D489="","",(VLOOKUP(D489,datos!A:D,4,FALSE)))</f>
        <v/>
      </c>
      <c r="G489" s="4"/>
      <c r="I489" s="2"/>
      <c r="J489" s="2" t="str">
        <f>CONCATENATE((IF(A489="","",(VLOOKUP(Novedades!D489,datos!$A$1:$C$46,3,FALSE)))),E489)</f>
        <v/>
      </c>
    </row>
    <row r="490" spans="5:10" x14ac:dyDescent="0.25">
      <c r="E490" t="str">
        <f>IF(D490="","",(VLOOKUP(D490,datos!A:D,4,FALSE)))</f>
        <v/>
      </c>
      <c r="G490" s="4"/>
      <c r="I490" s="2"/>
      <c r="J490" s="2" t="str">
        <f>CONCATENATE((IF(A490="","",(VLOOKUP(Novedades!D490,datos!$A$1:$C$46,3,FALSE)))),E490)</f>
        <v/>
      </c>
    </row>
    <row r="491" spans="5:10" x14ac:dyDescent="0.25">
      <c r="E491" t="str">
        <f>IF(D491="","",(VLOOKUP(D491,datos!A:D,4,FALSE)))</f>
        <v/>
      </c>
      <c r="G491" s="4"/>
      <c r="I491" s="2"/>
      <c r="J491" s="2" t="str">
        <f>CONCATENATE((IF(A491="","",(VLOOKUP(Novedades!D491,datos!$A$1:$C$46,3,FALSE)))),E491)</f>
        <v/>
      </c>
    </row>
    <row r="492" spans="5:10" x14ac:dyDescent="0.25">
      <c r="E492" t="str">
        <f>IF(D492="","",(VLOOKUP(D492,datos!A:D,4,FALSE)))</f>
        <v/>
      </c>
      <c r="G492" s="4"/>
      <c r="I492" s="2"/>
      <c r="J492" s="2" t="str">
        <f>CONCATENATE((IF(A492="","",(VLOOKUP(Novedades!D492,datos!$A$1:$C$46,3,FALSE)))),E492)</f>
        <v/>
      </c>
    </row>
    <row r="493" spans="5:10" x14ac:dyDescent="0.25">
      <c r="E493" t="str">
        <f>IF(D493="","",(VLOOKUP(D493,datos!A:D,4,FALSE)))</f>
        <v/>
      </c>
      <c r="G493" s="4"/>
      <c r="I493" s="2"/>
      <c r="J493" s="2" t="str">
        <f>CONCATENATE((IF(A493="","",(VLOOKUP(Novedades!D493,datos!$A$1:$C$46,3,FALSE)))),E493)</f>
        <v/>
      </c>
    </row>
    <row r="494" spans="5:10" x14ac:dyDescent="0.25">
      <c r="E494" t="str">
        <f>IF(D494="","",(VLOOKUP(D494,datos!A:D,4,FALSE)))</f>
        <v/>
      </c>
      <c r="G494" s="4"/>
      <c r="I494" s="2"/>
      <c r="J494" s="2" t="str">
        <f>CONCATENATE((IF(A494="","",(VLOOKUP(Novedades!D494,datos!$A$1:$C$46,3,FALSE)))),E494)</f>
        <v/>
      </c>
    </row>
    <row r="495" spans="5:10" x14ac:dyDescent="0.25">
      <c r="E495" t="str">
        <f>IF(D495="","",(VLOOKUP(D495,datos!A:D,4,FALSE)))</f>
        <v/>
      </c>
      <c r="G495" s="4"/>
      <c r="I495" s="2"/>
      <c r="J495" s="2" t="str">
        <f>CONCATENATE((IF(A495="","",(VLOOKUP(Novedades!D495,datos!$A$1:$C$46,3,FALSE)))),E495)</f>
        <v/>
      </c>
    </row>
    <row r="496" spans="5:10" x14ac:dyDescent="0.25">
      <c r="E496" t="str">
        <f>IF(D496="","",(VLOOKUP(D496,datos!A:D,4,FALSE)))</f>
        <v/>
      </c>
      <c r="G496" s="4"/>
      <c r="I496" s="2"/>
      <c r="J496" s="2" t="str">
        <f>CONCATENATE((IF(A496="","",(VLOOKUP(Novedades!D496,datos!$A$1:$C$46,3,FALSE)))),E496)</f>
        <v/>
      </c>
    </row>
    <row r="497" spans="1:20" x14ac:dyDescent="0.25">
      <c r="E497" t="str">
        <f>IF(D497="","",(VLOOKUP(D497,datos!A:D,4,FALSE)))</f>
        <v/>
      </c>
      <c r="G497" s="4"/>
      <c r="I497" s="2"/>
      <c r="J497" s="2" t="str">
        <f>CONCATENATE((IF(A497="","",(VLOOKUP(Novedades!D497,datos!$A$1:$C$46,3,FALSE)))),E497)</f>
        <v/>
      </c>
    </row>
    <row r="498" spans="1:20" x14ac:dyDescent="0.25">
      <c r="E498" t="str">
        <f>IF(D498="","",(VLOOKUP(D498,datos!A:D,4,FALSE)))</f>
        <v/>
      </c>
      <c r="G498" s="4"/>
      <c r="I498" s="2"/>
      <c r="J498" s="2" t="str">
        <f>CONCATENATE((IF(A498="","",(VLOOKUP(Novedades!D498,datos!$A$1:$C$46,3,FALSE)))),E498)</f>
        <v/>
      </c>
    </row>
    <row r="499" spans="1:20" x14ac:dyDescent="0.25">
      <c r="E499" t="str">
        <f>IF(D499="","",(VLOOKUP(D499,datos!A:D,4,FALSE)))</f>
        <v/>
      </c>
      <c r="G499" s="4"/>
      <c r="I499" s="2"/>
      <c r="J499" s="2" t="str">
        <f>CONCATENATE((IF(A499="","",(VLOOKUP(Novedades!D499,datos!$A$1:$C$46,3,FALSE)))),E499)</f>
        <v/>
      </c>
    </row>
    <row r="500" spans="1:20" x14ac:dyDescent="0.25">
      <c r="E500" t="str">
        <f>IF(D500="","",(VLOOKUP(D500,datos!A:D,4,FALSE)))</f>
        <v/>
      </c>
      <c r="G500" s="4"/>
      <c r="I500" s="2"/>
      <c r="J500" s="2" t="str">
        <f>CONCATENATE((IF(A500="","",(VLOOKUP(Novedades!D500,datos!$A$1:$C$46,3,FALSE)))),E500)</f>
        <v/>
      </c>
    </row>
    <row r="501" spans="1:20" x14ac:dyDescent="0.25">
      <c r="E501" t="str">
        <f>IF(D501="","",(VLOOKUP(D501,datos!A:D,4,FALSE)))</f>
        <v/>
      </c>
      <c r="G501" s="4"/>
      <c r="I501" s="2"/>
      <c r="J501" s="2" t="str">
        <f>CONCATENATE((IF(A501="","",(VLOOKUP(Novedades!D501,datos!$A$1:$C$46,3,FALSE)))),E501)</f>
        <v/>
      </c>
    </row>
    <row r="502" spans="1:20" x14ac:dyDescent="0.25">
      <c r="E502" t="str">
        <f>IF(D502="","",(VLOOKUP(D502,datos!A:D,4,FALSE)))</f>
        <v/>
      </c>
      <c r="G502" s="4"/>
      <c r="I502" s="2"/>
      <c r="J502" s="2" t="str">
        <f>CONCATENATE((IF(A502="","",(VLOOKUP(Novedades!D502,datos!$A$1:$C$46,3,FALSE)))),E502)</f>
        <v/>
      </c>
    </row>
    <row r="503" spans="1:20" x14ac:dyDescent="0.25">
      <c r="E503" t="str">
        <f>IF(D503="","",(VLOOKUP(D503,datos!A:D,4,FALSE)))</f>
        <v/>
      </c>
      <c r="G503" s="4"/>
      <c r="I503" s="2"/>
      <c r="J503" s="2" t="str">
        <f>CONCATENATE((IF(A503="","",(VLOOKUP(Novedades!D503,datos!$A$1:$C$46,3,FALSE)))),E503)</f>
        <v/>
      </c>
    </row>
    <row r="504" spans="1:20" x14ac:dyDescent="0.25">
      <c r="E504" t="str">
        <f>IF(D504="","",(VLOOKUP(D504,datos!A:D,4,FALSE)))</f>
        <v/>
      </c>
      <c r="G504" s="4"/>
      <c r="I504" s="2"/>
      <c r="J504" s="2" t="str">
        <f>CONCATENATE((IF(A504="","",(VLOOKUP(Novedades!D504,datos!$A$1:$C$46,3,FALSE)))),E504)</f>
        <v/>
      </c>
    </row>
    <row r="505" spans="1:20" s="8" customFormat="1" x14ac:dyDescent="0.25">
      <c r="A505" s="7" t="s">
        <v>12</v>
      </c>
      <c r="B505" s="7"/>
      <c r="C505" s="7"/>
      <c r="D505" s="2"/>
      <c r="E505" s="9"/>
      <c r="F505" s="9"/>
      <c r="G505" s="10"/>
      <c r="H505" s="10"/>
      <c r="K505"/>
      <c r="L505"/>
      <c r="M505" s="31"/>
      <c r="T505" s="11"/>
    </row>
    <row r="506" spans="1:20" x14ac:dyDescent="0.25">
      <c r="G506" s="4"/>
      <c r="I506" s="2"/>
    </row>
    <row r="507" spans="1:20" x14ac:dyDescent="0.25">
      <c r="G507" s="4"/>
      <c r="I507" s="2"/>
    </row>
    <row r="508" spans="1:20" x14ac:dyDescent="0.25">
      <c r="G508" s="4"/>
      <c r="I508" s="2"/>
    </row>
    <row r="509" spans="1:20" x14ac:dyDescent="0.25">
      <c r="G509" s="4"/>
      <c r="I509" s="2"/>
    </row>
    <row r="510" spans="1:20" x14ac:dyDescent="0.25">
      <c r="G510" s="4"/>
      <c r="I510" s="2"/>
    </row>
    <row r="511" spans="1:20" x14ac:dyDescent="0.25">
      <c r="G511" s="4"/>
      <c r="I511" s="2"/>
    </row>
    <row r="512" spans="1:20" x14ac:dyDescent="0.25">
      <c r="G512" s="4"/>
      <c r="I512" s="2"/>
    </row>
    <row r="513" spans="7:9" x14ac:dyDescent="0.25">
      <c r="G513" s="4"/>
      <c r="I513" s="2"/>
    </row>
    <row r="514" spans="7:9" x14ac:dyDescent="0.25">
      <c r="G514" s="4"/>
      <c r="I514" s="2"/>
    </row>
    <row r="515" spans="7:9" x14ac:dyDescent="0.25">
      <c r="G515" s="4"/>
      <c r="I515" s="2"/>
    </row>
    <row r="516" spans="7:9" x14ac:dyDescent="0.25">
      <c r="G516" s="4"/>
      <c r="I516" s="2"/>
    </row>
    <row r="517" spans="7:9" x14ac:dyDescent="0.25">
      <c r="G517" s="4"/>
      <c r="I517" s="2"/>
    </row>
    <row r="518" spans="7:9" x14ac:dyDescent="0.25">
      <c r="G518" s="4"/>
      <c r="I518" s="2"/>
    </row>
    <row r="519" spans="7:9" x14ac:dyDescent="0.25">
      <c r="G519" s="4"/>
      <c r="I519" s="2"/>
    </row>
    <row r="520" spans="7:9" x14ac:dyDescent="0.25">
      <c r="G520" s="4"/>
      <c r="I520" s="2"/>
    </row>
    <row r="521" spans="7:9" x14ac:dyDescent="0.25">
      <c r="G521" s="4"/>
      <c r="I521" s="2"/>
    </row>
    <row r="522" spans="7:9" x14ac:dyDescent="0.25">
      <c r="G522" s="4"/>
      <c r="I522" s="2"/>
    </row>
    <row r="523" spans="7:9" x14ac:dyDescent="0.25">
      <c r="G523" s="4"/>
      <c r="I523" s="2"/>
    </row>
    <row r="524" spans="7:9" x14ac:dyDescent="0.25">
      <c r="G524" s="4"/>
      <c r="I524" s="2"/>
    </row>
    <row r="525" spans="7:9" x14ac:dyDescent="0.25">
      <c r="G525" s="4"/>
      <c r="I525" s="2"/>
    </row>
    <row r="526" spans="7:9" x14ac:dyDescent="0.25">
      <c r="G526" s="4"/>
      <c r="I526" s="2"/>
    </row>
    <row r="527" spans="7:9" x14ac:dyDescent="0.25">
      <c r="G527" s="4"/>
      <c r="I527" s="2"/>
    </row>
  </sheetData>
  <mergeCells count="3">
    <mergeCell ref="E2:H2"/>
    <mergeCell ref="I3:K3"/>
    <mergeCell ref="I2:K2"/>
  </mergeCells>
  <pageMargins left="0.7" right="0.7" top="0.75" bottom="0.75" header="0.3" footer="0.3"/>
  <pageSetup paperSize="9" orientation="portrait" r:id="rId1"/>
  <ignoredErrors>
    <ignoredError sqref="E7:E504" unlockedFormula="1"/>
  </ignoredErrors>
  <drawing r:id="rId2"/>
  <legacyDrawing r:id="rId3"/>
  <extLst>
    <ext uri="{CCE6A557-97BC-4b89-ADB6-D9C93CAAB3DF}">
      <x14:dataValidations xmlns:xm="http://schemas.microsoft.com/office/excel/2006/main" xmlns:x14="http://schemas.microsoft.com/office/spreadsheetml/2009/9/main" count="1">
        <x14:dataValidation type="list" allowBlank="1" showInputMessage="1" showErrorMessage="1">
          <x14:formula1>
            <xm:f>OFFSET(datos!$A$1,1,0,COUNTA(datos!$A$2:$A$198)-COUNTIF(datos!$A$2:$A$198,""),1)</xm:f>
          </x14:formula1>
          <xm:sqref>D6:D505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Hoja1"/>
  <dimension ref="A1:E24"/>
  <sheetViews>
    <sheetView workbookViewId="0">
      <selection activeCell="B6" sqref="B6"/>
    </sheetView>
  </sheetViews>
  <sheetFormatPr baseColWidth="10" defaultColWidth="11.42578125" defaultRowHeight="15" x14ac:dyDescent="0.25"/>
  <cols>
    <col min="1" max="1" width="12" style="37" customWidth="1"/>
    <col min="2" max="2" width="45.140625" style="2" customWidth="1"/>
    <col min="3" max="3" width="11.42578125" style="2"/>
    <col min="4" max="4" width="4.140625" style="2" customWidth="1"/>
    <col min="5" max="5" width="53.5703125" style="2" customWidth="1"/>
    <col min="6" max="16384" width="11.42578125" style="2"/>
  </cols>
  <sheetData>
    <row r="1" spans="1:5" ht="29.25" customHeight="1" thickBot="1" x14ac:dyDescent="0.3">
      <c r="A1" s="49" t="s">
        <v>13</v>
      </c>
      <c r="B1" s="49"/>
      <c r="C1" s="49"/>
    </row>
    <row r="2" spans="1:5" s="33" customFormat="1" ht="60" customHeight="1" x14ac:dyDescent="0.25">
      <c r="A2" s="32" t="s">
        <v>14</v>
      </c>
      <c r="B2" s="32" t="s">
        <v>15</v>
      </c>
      <c r="C2" s="32" t="s">
        <v>16</v>
      </c>
      <c r="E2" s="50" t="s">
        <v>17</v>
      </c>
    </row>
    <row r="3" spans="1:5" x14ac:dyDescent="0.25">
      <c r="A3" s="34"/>
      <c r="B3" s="35"/>
      <c r="C3" s="35"/>
      <c r="E3" s="51"/>
    </row>
    <row r="4" spans="1:5" x14ac:dyDescent="0.25">
      <c r="A4" s="36"/>
      <c r="B4" s="35"/>
      <c r="C4" s="35"/>
      <c r="E4" s="51"/>
    </row>
    <row r="5" spans="1:5" ht="15.75" thickBot="1" x14ac:dyDescent="0.3">
      <c r="A5" s="36"/>
      <c r="B5" s="35"/>
      <c r="C5" s="35"/>
      <c r="E5" s="52"/>
    </row>
    <row r="6" spans="1:5" x14ac:dyDescent="0.25">
      <c r="A6" s="36"/>
      <c r="B6" s="35"/>
      <c r="C6" s="35"/>
    </row>
    <row r="7" spans="1:5" x14ac:dyDescent="0.25">
      <c r="A7" s="36"/>
      <c r="B7" s="35"/>
      <c r="C7" s="35"/>
    </row>
    <row r="8" spans="1:5" x14ac:dyDescent="0.25">
      <c r="A8" s="36"/>
      <c r="B8" s="35"/>
      <c r="C8" s="35"/>
    </row>
    <row r="9" spans="1:5" x14ac:dyDescent="0.25">
      <c r="A9" s="36"/>
      <c r="B9" s="35"/>
      <c r="C9" s="35"/>
    </row>
    <row r="10" spans="1:5" x14ac:dyDescent="0.25">
      <c r="A10" s="36"/>
      <c r="B10" s="35"/>
      <c r="C10" s="35"/>
    </row>
    <row r="11" spans="1:5" x14ac:dyDescent="0.25">
      <c r="A11" s="36"/>
      <c r="B11" s="35"/>
      <c r="C11" s="35"/>
    </row>
    <row r="12" spans="1:5" x14ac:dyDescent="0.25">
      <c r="A12" s="36"/>
      <c r="B12" s="35"/>
      <c r="C12" s="35"/>
    </row>
    <row r="13" spans="1:5" x14ac:dyDescent="0.25">
      <c r="A13" s="36"/>
      <c r="B13" s="35"/>
      <c r="C13" s="35"/>
    </row>
    <row r="14" spans="1:5" x14ac:dyDescent="0.25">
      <c r="A14" s="36"/>
      <c r="B14" s="35"/>
      <c r="C14" s="35"/>
    </row>
    <row r="15" spans="1:5" x14ac:dyDescent="0.25">
      <c r="A15" s="36"/>
      <c r="B15" s="35"/>
      <c r="C15" s="35"/>
    </row>
    <row r="16" spans="1:5" x14ac:dyDescent="0.25">
      <c r="A16" s="36"/>
      <c r="B16" s="35"/>
      <c r="C16" s="35"/>
    </row>
    <row r="17" spans="1:3" x14ac:dyDescent="0.25">
      <c r="A17" s="36"/>
      <c r="B17" s="35"/>
      <c r="C17" s="35"/>
    </row>
    <row r="18" spans="1:3" x14ac:dyDescent="0.25">
      <c r="A18" s="36"/>
      <c r="B18" s="35"/>
      <c r="C18" s="35"/>
    </row>
    <row r="19" spans="1:3" x14ac:dyDescent="0.25">
      <c r="A19" s="36"/>
      <c r="B19" s="35"/>
      <c r="C19" s="35"/>
    </row>
    <row r="20" spans="1:3" x14ac:dyDescent="0.25">
      <c r="A20" s="36"/>
      <c r="B20" s="35"/>
      <c r="C20" s="35"/>
    </row>
    <row r="21" spans="1:3" x14ac:dyDescent="0.25">
      <c r="A21" s="36"/>
      <c r="B21" s="35"/>
      <c r="C21" s="35"/>
    </row>
    <row r="22" spans="1:3" x14ac:dyDescent="0.25">
      <c r="A22" s="36"/>
      <c r="B22" s="35"/>
      <c r="C22" s="35"/>
    </row>
    <row r="23" spans="1:3" x14ac:dyDescent="0.25">
      <c r="A23" s="36"/>
      <c r="B23" s="35"/>
      <c r="C23" s="35"/>
    </row>
    <row r="24" spans="1:3" x14ac:dyDescent="0.25">
      <c r="A24" s="36"/>
      <c r="B24" s="35"/>
      <c r="C24" s="35"/>
    </row>
  </sheetData>
  <mergeCells count="2">
    <mergeCell ref="A1:C1"/>
    <mergeCell ref="E2:E5"/>
  </mergeCells>
  <pageMargins left="0.7" right="0.7" top="0.75" bottom="0.75" header="0.3" footer="0.3"/>
  <pageSetup orientation="portrait" verticalDpi="300" r:id="rId1"/>
  <extLst>
    <ext uri="{CCE6A557-97BC-4b89-ADB6-D9C93CAAB3DF}">
      <x14:dataValidations xmlns:xm="http://schemas.microsoft.com/office/excel/2006/main" xmlns:x14="http://schemas.microsoft.com/office/spreadsheetml/2009/9/main" count="1">
        <x14:dataValidation type="list" allowBlank="1" showInputMessage="1" showErrorMessage="1">
          <x14:formula1>
            <xm:f>datos!$F$2:$F$3</xm:f>
          </x14:formula1>
          <xm:sqref>C3:C24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Hoja4"/>
  <dimension ref="A1:F198"/>
  <sheetViews>
    <sheetView workbookViewId="0">
      <selection activeCell="A41" sqref="A41"/>
    </sheetView>
  </sheetViews>
  <sheetFormatPr baseColWidth="10" defaultColWidth="11.42578125" defaultRowHeight="15" x14ac:dyDescent="0.25"/>
  <cols>
    <col min="1" max="1" width="54.28515625" bestFit="1" customWidth="1"/>
    <col min="5" max="5" width="15.7109375" bestFit="1" customWidth="1"/>
  </cols>
  <sheetData>
    <row r="1" spans="1:6" x14ac:dyDescent="0.25">
      <c r="A1" t="s">
        <v>18</v>
      </c>
      <c r="B1" t="s">
        <v>19</v>
      </c>
      <c r="C1" t="s">
        <v>20</v>
      </c>
      <c r="E1" t="s">
        <v>21</v>
      </c>
      <c r="F1" t="s">
        <v>22</v>
      </c>
    </row>
    <row r="2" spans="1:6" x14ac:dyDescent="0.25">
      <c r="A2" t="s">
        <v>23</v>
      </c>
      <c r="B2">
        <v>1</v>
      </c>
      <c r="C2" t="s">
        <v>24</v>
      </c>
      <c r="D2" t="s">
        <v>25</v>
      </c>
      <c r="E2" t="s">
        <v>26</v>
      </c>
      <c r="F2" t="s">
        <v>24</v>
      </c>
    </row>
    <row r="3" spans="1:6" x14ac:dyDescent="0.25">
      <c r="A3" t="s">
        <v>27</v>
      </c>
      <c r="B3">
        <v>2</v>
      </c>
      <c r="C3" t="s">
        <v>24</v>
      </c>
      <c r="D3" t="s">
        <v>25</v>
      </c>
      <c r="E3" t="s">
        <v>28</v>
      </c>
      <c r="F3" t="s">
        <v>29</v>
      </c>
    </row>
    <row r="4" spans="1:6" x14ac:dyDescent="0.25">
      <c r="A4" t="s">
        <v>30</v>
      </c>
      <c r="B4">
        <v>3</v>
      </c>
      <c r="C4" t="s">
        <v>24</v>
      </c>
      <c r="D4" t="s">
        <v>25</v>
      </c>
      <c r="E4" t="s">
        <v>25</v>
      </c>
    </row>
    <row r="5" spans="1:6" x14ac:dyDescent="0.25">
      <c r="A5" t="s">
        <v>31</v>
      </c>
      <c r="B5">
        <v>6</v>
      </c>
      <c r="C5" t="s">
        <v>24</v>
      </c>
      <c r="D5" t="s">
        <v>28</v>
      </c>
    </row>
    <row r="6" spans="1:6" x14ac:dyDescent="0.25">
      <c r="A6" t="s">
        <v>32</v>
      </c>
      <c r="B6">
        <v>7</v>
      </c>
      <c r="C6" t="s">
        <v>24</v>
      </c>
      <c r="D6" t="s">
        <v>28</v>
      </c>
    </row>
    <row r="7" spans="1:6" x14ac:dyDescent="0.25">
      <c r="A7" t="s">
        <v>33</v>
      </c>
      <c r="B7">
        <v>8</v>
      </c>
      <c r="C7" t="s">
        <v>24</v>
      </c>
      <c r="D7" t="s">
        <v>28</v>
      </c>
    </row>
    <row r="8" spans="1:6" x14ac:dyDescent="0.25">
      <c r="A8" t="s">
        <v>34</v>
      </c>
      <c r="B8">
        <v>9</v>
      </c>
      <c r="C8" t="s">
        <v>24</v>
      </c>
      <c r="D8" t="s">
        <v>28</v>
      </c>
    </row>
    <row r="9" spans="1:6" x14ac:dyDescent="0.25">
      <c r="A9" t="s">
        <v>35</v>
      </c>
      <c r="B9">
        <v>10</v>
      </c>
      <c r="C9" t="s">
        <v>24</v>
      </c>
      <c r="D9" t="s">
        <v>28</v>
      </c>
    </row>
    <row r="10" spans="1:6" x14ac:dyDescent="0.25">
      <c r="A10" t="s">
        <v>36</v>
      </c>
      <c r="B10">
        <v>11</v>
      </c>
      <c r="C10" t="s">
        <v>24</v>
      </c>
      <c r="D10" t="s">
        <v>28</v>
      </c>
    </row>
    <row r="11" spans="1:6" x14ac:dyDescent="0.25">
      <c r="A11" t="s">
        <v>37</v>
      </c>
      <c r="B11">
        <v>12</v>
      </c>
      <c r="C11" t="s">
        <v>24</v>
      </c>
      <c r="D11" t="s">
        <v>28</v>
      </c>
    </row>
    <row r="12" spans="1:6" x14ac:dyDescent="0.25">
      <c r="A12" t="s">
        <v>38</v>
      </c>
      <c r="B12">
        <v>13</v>
      </c>
      <c r="C12" t="s">
        <v>24</v>
      </c>
      <c r="D12" t="s">
        <v>26</v>
      </c>
    </row>
    <row r="13" spans="1:6" x14ac:dyDescent="0.25">
      <c r="A13" t="s">
        <v>39</v>
      </c>
      <c r="B13">
        <v>14</v>
      </c>
      <c r="C13" t="s">
        <v>24</v>
      </c>
      <c r="D13" t="s">
        <v>26</v>
      </c>
    </row>
    <row r="14" spans="1:6" x14ac:dyDescent="0.25">
      <c r="A14" t="s">
        <v>40</v>
      </c>
      <c r="B14">
        <v>15</v>
      </c>
      <c r="C14" t="s">
        <v>24</v>
      </c>
      <c r="D14" t="s">
        <v>26</v>
      </c>
    </row>
    <row r="15" spans="1:6" x14ac:dyDescent="0.25">
      <c r="A15" t="s">
        <v>41</v>
      </c>
      <c r="B15">
        <v>16</v>
      </c>
      <c r="C15" t="s">
        <v>24</v>
      </c>
      <c r="D15" t="s">
        <v>26</v>
      </c>
    </row>
    <row r="16" spans="1:6" x14ac:dyDescent="0.25">
      <c r="A16" t="s">
        <v>42</v>
      </c>
      <c r="B16">
        <v>19</v>
      </c>
      <c r="C16" t="s">
        <v>24</v>
      </c>
      <c r="D16" t="s">
        <v>25</v>
      </c>
    </row>
    <row r="17" spans="1:4" x14ac:dyDescent="0.25">
      <c r="A17" t="s">
        <v>43</v>
      </c>
      <c r="B17">
        <v>20</v>
      </c>
      <c r="C17" t="s">
        <v>24</v>
      </c>
      <c r="D17" t="s">
        <v>26</v>
      </c>
    </row>
    <row r="18" spans="1:4" x14ac:dyDescent="0.25">
      <c r="A18" t="s">
        <v>44</v>
      </c>
      <c r="B18">
        <v>20</v>
      </c>
      <c r="C18" t="s">
        <v>24</v>
      </c>
      <c r="D18" t="s">
        <v>26</v>
      </c>
    </row>
    <row r="19" spans="1:4" x14ac:dyDescent="0.25">
      <c r="A19" t="s">
        <v>45</v>
      </c>
      <c r="B19">
        <v>21</v>
      </c>
      <c r="C19" t="s">
        <v>24</v>
      </c>
      <c r="D19" t="s">
        <v>26</v>
      </c>
    </row>
    <row r="20" spans="1:4" x14ac:dyDescent="0.25">
      <c r="A20" t="s">
        <v>46</v>
      </c>
      <c r="B20">
        <v>22</v>
      </c>
      <c r="C20" t="s">
        <v>24</v>
      </c>
      <c r="D20" t="s">
        <v>26</v>
      </c>
    </row>
    <row r="21" spans="1:4" x14ac:dyDescent="0.25">
      <c r="A21" t="s">
        <v>47</v>
      </c>
      <c r="B21">
        <v>23</v>
      </c>
      <c r="C21" t="s">
        <v>24</v>
      </c>
      <c r="D21" t="s">
        <v>25</v>
      </c>
    </row>
    <row r="22" spans="1:4" x14ac:dyDescent="0.25">
      <c r="A22" t="s">
        <v>48</v>
      </c>
      <c r="B22">
        <v>25</v>
      </c>
      <c r="C22" t="s">
        <v>24</v>
      </c>
      <c r="D22" t="s">
        <v>28</v>
      </c>
    </row>
    <row r="23" spans="1:4" x14ac:dyDescent="0.25">
      <c r="A23" t="s">
        <v>49</v>
      </c>
      <c r="B23">
        <v>26</v>
      </c>
      <c r="C23" t="s">
        <v>24</v>
      </c>
      <c r="D23" t="s">
        <v>28</v>
      </c>
    </row>
    <row r="24" spans="1:4" x14ac:dyDescent="0.25">
      <c r="A24" t="s">
        <v>50</v>
      </c>
      <c r="B24">
        <v>27</v>
      </c>
      <c r="C24" t="s">
        <v>24</v>
      </c>
      <c r="D24" t="s">
        <v>28</v>
      </c>
    </row>
    <row r="25" spans="1:4" x14ac:dyDescent="0.25">
      <c r="A25" t="s">
        <v>51</v>
      </c>
      <c r="B25">
        <v>30</v>
      </c>
      <c r="C25" t="s">
        <v>24</v>
      </c>
      <c r="D25" t="s">
        <v>26</v>
      </c>
    </row>
    <row r="26" spans="1:4" x14ac:dyDescent="0.25">
      <c r="A26" t="s">
        <v>52</v>
      </c>
      <c r="B26">
        <v>31</v>
      </c>
      <c r="C26" t="s">
        <v>24</v>
      </c>
      <c r="D26" t="s">
        <v>26</v>
      </c>
    </row>
    <row r="27" spans="1:4" x14ac:dyDescent="0.25">
      <c r="A27" t="s">
        <v>53</v>
      </c>
      <c r="B27">
        <v>34</v>
      </c>
      <c r="C27" t="s">
        <v>29</v>
      </c>
      <c r="D27" t="s">
        <v>25</v>
      </c>
    </row>
    <row r="28" spans="1:4" x14ac:dyDescent="0.25">
      <c r="A28" t="s">
        <v>54</v>
      </c>
      <c r="B28">
        <v>35</v>
      </c>
      <c r="C28" t="s">
        <v>29</v>
      </c>
      <c r="D28" t="s">
        <v>25</v>
      </c>
    </row>
    <row r="29" spans="1:4" x14ac:dyDescent="0.25">
      <c r="A29" t="s">
        <v>55</v>
      </c>
      <c r="B29">
        <v>36</v>
      </c>
      <c r="C29" t="s">
        <v>29</v>
      </c>
      <c r="D29" t="s">
        <v>25</v>
      </c>
    </row>
    <row r="30" spans="1:4" x14ac:dyDescent="0.25">
      <c r="A30" t="s">
        <v>56</v>
      </c>
      <c r="B30">
        <v>37</v>
      </c>
      <c r="C30" t="s">
        <v>29</v>
      </c>
      <c r="D30" t="s">
        <v>25</v>
      </c>
    </row>
    <row r="31" spans="1:4" x14ac:dyDescent="0.25">
      <c r="A31" t="s">
        <v>57</v>
      </c>
      <c r="B31">
        <v>38</v>
      </c>
      <c r="C31" t="s">
        <v>29</v>
      </c>
      <c r="D31" t="s">
        <v>26</v>
      </c>
    </row>
    <row r="32" spans="1:4" x14ac:dyDescent="0.25">
      <c r="A32" t="s">
        <v>58</v>
      </c>
      <c r="B32">
        <v>39</v>
      </c>
      <c r="C32" t="s">
        <v>29</v>
      </c>
      <c r="D32" t="s">
        <v>25</v>
      </c>
    </row>
    <row r="33" spans="1:4" x14ac:dyDescent="0.25">
      <c r="A33" t="s">
        <v>59</v>
      </c>
      <c r="B33">
        <v>41</v>
      </c>
      <c r="C33" t="s">
        <v>29</v>
      </c>
      <c r="D33" t="s">
        <v>25</v>
      </c>
    </row>
    <row r="34" spans="1:4" x14ac:dyDescent="0.25">
      <c r="A34" t="s">
        <v>60</v>
      </c>
      <c r="B34">
        <v>42</v>
      </c>
      <c r="C34" t="s">
        <v>24</v>
      </c>
      <c r="D34" t="s">
        <v>25</v>
      </c>
    </row>
    <row r="35" spans="1:4" x14ac:dyDescent="0.25">
      <c r="A35" t="s">
        <v>61</v>
      </c>
      <c r="B35">
        <v>43</v>
      </c>
      <c r="C35" t="s">
        <v>24</v>
      </c>
      <c r="D35" t="s">
        <v>25</v>
      </c>
    </row>
    <row r="36" spans="1:4" x14ac:dyDescent="0.25">
      <c r="A36" t="s">
        <v>62</v>
      </c>
      <c r="B36">
        <v>44</v>
      </c>
      <c r="C36" t="s">
        <v>24</v>
      </c>
      <c r="D36" t="s">
        <v>25</v>
      </c>
    </row>
    <row r="37" spans="1:4" x14ac:dyDescent="0.25">
      <c r="A37" t="s">
        <v>63</v>
      </c>
      <c r="B37">
        <v>45</v>
      </c>
      <c r="C37" t="s">
        <v>29</v>
      </c>
      <c r="D37" t="s">
        <v>25</v>
      </c>
    </row>
    <row r="38" spans="1:4" x14ac:dyDescent="0.25">
      <c r="A38" t="s">
        <v>64</v>
      </c>
      <c r="B38">
        <v>46</v>
      </c>
      <c r="C38" t="s">
        <v>29</v>
      </c>
      <c r="D38" t="s">
        <v>25</v>
      </c>
    </row>
    <row r="39" spans="1:4" x14ac:dyDescent="0.25">
      <c r="A39" t="s">
        <v>65</v>
      </c>
      <c r="B39">
        <v>47</v>
      </c>
      <c r="C39" t="s">
        <v>29</v>
      </c>
      <c r="D39" t="s">
        <v>25</v>
      </c>
    </row>
    <row r="40" spans="1:4" x14ac:dyDescent="0.25">
      <c r="A40" t="s">
        <v>66</v>
      </c>
      <c r="B40">
        <v>48</v>
      </c>
      <c r="C40" t="s">
        <v>29</v>
      </c>
      <c r="D40" t="s">
        <v>25</v>
      </c>
    </row>
    <row r="41" spans="1:4" x14ac:dyDescent="0.25">
      <c r="A41" t="str">
        <f>IF(ISBLANK('Conceptos creados por usuario'!A3),"",CONCATENATE('Conceptos creados por usuario'!A3,"-",'Conceptos creados por usuario'!B3,"-",'Conceptos creados por usuario'!C3))</f>
        <v>49-Compra de producto-Deducción</v>
      </c>
      <c r="B41">
        <f>'Conceptos creados por usuario'!A3</f>
        <v>49</v>
      </c>
      <c r="C41" t="str">
        <f>'Conceptos creados por usuario'!C3</f>
        <v>Deducción</v>
      </c>
      <c r="D41" t="s">
        <v>25</v>
      </c>
    </row>
    <row r="42" spans="1:4" x14ac:dyDescent="0.25">
      <c r="A42" t="str">
        <f>IF(ISBLANK('Conceptos creados por usuario'!A4),"",CONCATENATE('Conceptos creados por usuario'!A4,"-",'Conceptos creados por usuario'!B4,"-",'Conceptos creados por usuario'!C4))</f>
        <v/>
      </c>
      <c r="B42">
        <f>'Conceptos creados por usuario'!A4</f>
        <v>0</v>
      </c>
      <c r="C42">
        <f>'Conceptos creados por usuario'!C4</f>
        <v>0</v>
      </c>
      <c r="D42" t="s">
        <v>25</v>
      </c>
    </row>
    <row r="43" spans="1:4" x14ac:dyDescent="0.25">
      <c r="A43" t="str">
        <f>IF(ISBLANK('Conceptos creados por usuario'!A5),"",CONCATENATE('Conceptos creados por usuario'!A5,"-",'Conceptos creados por usuario'!B5,"-",'Conceptos creados por usuario'!C5))</f>
        <v/>
      </c>
      <c r="B43">
        <f>'Conceptos creados por usuario'!A5</f>
        <v>0</v>
      </c>
      <c r="C43">
        <f>'Conceptos creados por usuario'!C5</f>
        <v>0</v>
      </c>
      <c r="D43" t="s">
        <v>25</v>
      </c>
    </row>
    <row r="44" spans="1:4" x14ac:dyDescent="0.25">
      <c r="A44" t="str">
        <f>IF(ISBLANK('Conceptos creados por usuario'!A6),"",CONCATENATE('Conceptos creados por usuario'!A6,"-",'Conceptos creados por usuario'!B6,"-",'Conceptos creados por usuario'!C6))</f>
        <v/>
      </c>
      <c r="B44">
        <f>'Conceptos creados por usuario'!A6</f>
        <v>0</v>
      </c>
      <c r="C44">
        <f>'Conceptos creados por usuario'!C6</f>
        <v>0</v>
      </c>
      <c r="D44" t="s">
        <v>25</v>
      </c>
    </row>
    <row r="45" spans="1:4" x14ac:dyDescent="0.25">
      <c r="A45" t="str">
        <f>IF(ISBLANK('Conceptos creados por usuario'!A7),"",CONCATENATE('Conceptos creados por usuario'!A7,"-",'Conceptos creados por usuario'!B7,"-",'Conceptos creados por usuario'!C7))</f>
        <v/>
      </c>
      <c r="B45">
        <f>'Conceptos creados por usuario'!A7</f>
        <v>0</v>
      </c>
      <c r="C45">
        <f>'Conceptos creados por usuario'!C7</f>
        <v>0</v>
      </c>
      <c r="D45" t="s">
        <v>25</v>
      </c>
    </row>
    <row r="46" spans="1:4" x14ac:dyDescent="0.25">
      <c r="A46" t="str">
        <f>IF(ISBLANK('Conceptos creados por usuario'!A8),"",CONCATENATE('Conceptos creados por usuario'!A8,"-",'Conceptos creados por usuario'!B8,"-",'Conceptos creados por usuario'!C8))</f>
        <v/>
      </c>
      <c r="B46">
        <f>'Conceptos creados por usuario'!A8</f>
        <v>0</v>
      </c>
      <c r="C46">
        <f>'Conceptos creados por usuario'!C8</f>
        <v>0</v>
      </c>
      <c r="D46" t="s">
        <v>25</v>
      </c>
    </row>
    <row r="47" spans="1:4" x14ac:dyDescent="0.25">
      <c r="A47" t="str">
        <f>IF(ISBLANK('Conceptos creados por usuario'!A9),"",CONCATENATE('Conceptos creados por usuario'!A9,"-",'Conceptos creados por usuario'!B9,"-",'Conceptos creados por usuario'!C9))</f>
        <v/>
      </c>
      <c r="B47">
        <f>'Conceptos creados por usuario'!A9</f>
        <v>0</v>
      </c>
      <c r="C47">
        <f>'Conceptos creados por usuario'!C9</f>
        <v>0</v>
      </c>
      <c r="D47" t="s">
        <v>25</v>
      </c>
    </row>
    <row r="48" spans="1:4" x14ac:dyDescent="0.25">
      <c r="A48" t="str">
        <f>IF(ISBLANK('Conceptos creados por usuario'!A10),"",CONCATENATE('Conceptos creados por usuario'!A10,"-",'Conceptos creados por usuario'!B10,"-",'Conceptos creados por usuario'!C10))</f>
        <v/>
      </c>
      <c r="B48">
        <f>'Conceptos creados por usuario'!A10</f>
        <v>0</v>
      </c>
      <c r="C48">
        <f>'Conceptos creados por usuario'!C10</f>
        <v>0</v>
      </c>
      <c r="D48" t="s">
        <v>25</v>
      </c>
    </row>
    <row r="49" spans="1:4" x14ac:dyDescent="0.25">
      <c r="A49" t="str">
        <f>IF(ISBLANK('Conceptos creados por usuario'!A11),"",CONCATENATE('Conceptos creados por usuario'!A11,"-",'Conceptos creados por usuario'!B11,"-",'Conceptos creados por usuario'!C11))</f>
        <v/>
      </c>
      <c r="B49">
        <f>'Conceptos creados por usuario'!A11</f>
        <v>0</v>
      </c>
      <c r="C49">
        <f>'Conceptos creados por usuario'!C11</f>
        <v>0</v>
      </c>
      <c r="D49" t="s">
        <v>25</v>
      </c>
    </row>
    <row r="50" spans="1:4" x14ac:dyDescent="0.25">
      <c r="A50" t="str">
        <f>IF(ISBLANK('Conceptos creados por usuario'!A12),"",CONCATENATE('Conceptos creados por usuario'!A12,"-",'Conceptos creados por usuario'!B12,"-",'Conceptos creados por usuario'!C12))</f>
        <v/>
      </c>
      <c r="B50">
        <f>'Conceptos creados por usuario'!A12</f>
        <v>0</v>
      </c>
      <c r="C50">
        <f>'Conceptos creados por usuario'!C12</f>
        <v>0</v>
      </c>
      <c r="D50" t="s">
        <v>25</v>
      </c>
    </row>
    <row r="51" spans="1:4" x14ac:dyDescent="0.25">
      <c r="A51" t="str">
        <f>IF(ISBLANK('Conceptos creados por usuario'!A13),"",CONCATENATE('Conceptos creados por usuario'!A13,"-",'Conceptos creados por usuario'!B13,"-",'Conceptos creados por usuario'!C13))</f>
        <v/>
      </c>
      <c r="B51">
        <f>'Conceptos creados por usuario'!A13</f>
        <v>0</v>
      </c>
      <c r="C51">
        <f>'Conceptos creados por usuario'!C13</f>
        <v>0</v>
      </c>
      <c r="D51" t="s">
        <v>25</v>
      </c>
    </row>
    <row r="52" spans="1:4" x14ac:dyDescent="0.25">
      <c r="A52" t="str">
        <f>IF(ISBLANK('Conceptos creados por usuario'!A14),"",CONCATENATE('Conceptos creados por usuario'!A14,"-",'Conceptos creados por usuario'!B14,"-",'Conceptos creados por usuario'!C14))</f>
        <v/>
      </c>
      <c r="B52">
        <f>'Conceptos creados por usuario'!A14</f>
        <v>0</v>
      </c>
      <c r="C52">
        <f>'Conceptos creados por usuario'!C14</f>
        <v>0</v>
      </c>
      <c r="D52" t="s">
        <v>25</v>
      </c>
    </row>
    <row r="53" spans="1:4" x14ac:dyDescent="0.25">
      <c r="A53" t="str">
        <f>IF(ISBLANK('Conceptos creados por usuario'!A15),"",CONCATENATE('Conceptos creados por usuario'!A15,"-",'Conceptos creados por usuario'!B15,"-",'Conceptos creados por usuario'!C15))</f>
        <v/>
      </c>
      <c r="B53">
        <f>'Conceptos creados por usuario'!A15</f>
        <v>0</v>
      </c>
      <c r="C53">
        <f>'Conceptos creados por usuario'!C15</f>
        <v>0</v>
      </c>
      <c r="D53" t="s">
        <v>25</v>
      </c>
    </row>
    <row r="54" spans="1:4" x14ac:dyDescent="0.25">
      <c r="A54" t="str">
        <f>IF(ISBLANK('Conceptos creados por usuario'!A16),"",CONCATENATE('Conceptos creados por usuario'!A16,"-",'Conceptos creados por usuario'!B16,"-",'Conceptos creados por usuario'!C16))</f>
        <v/>
      </c>
      <c r="B54">
        <f>'Conceptos creados por usuario'!A16</f>
        <v>0</v>
      </c>
      <c r="C54">
        <f>'Conceptos creados por usuario'!C16</f>
        <v>0</v>
      </c>
      <c r="D54" t="s">
        <v>25</v>
      </c>
    </row>
    <row r="55" spans="1:4" x14ac:dyDescent="0.25">
      <c r="A55" t="str">
        <f>IF(ISBLANK('Conceptos creados por usuario'!A17),"",CONCATENATE('Conceptos creados por usuario'!A17,"-",'Conceptos creados por usuario'!B17,"-",'Conceptos creados por usuario'!C17))</f>
        <v/>
      </c>
      <c r="B55">
        <f>'Conceptos creados por usuario'!A17</f>
        <v>0</v>
      </c>
      <c r="C55">
        <f>'Conceptos creados por usuario'!C17</f>
        <v>0</v>
      </c>
      <c r="D55" t="s">
        <v>25</v>
      </c>
    </row>
    <row r="56" spans="1:4" x14ac:dyDescent="0.25">
      <c r="A56" t="str">
        <f>IF(ISBLANK('Conceptos creados por usuario'!A18),"",CONCATENATE('Conceptos creados por usuario'!A18,"-",'Conceptos creados por usuario'!B18,"-",'Conceptos creados por usuario'!C18))</f>
        <v/>
      </c>
      <c r="B56">
        <f>'Conceptos creados por usuario'!A18</f>
        <v>0</v>
      </c>
      <c r="C56">
        <f>'Conceptos creados por usuario'!C18</f>
        <v>0</v>
      </c>
      <c r="D56" t="s">
        <v>25</v>
      </c>
    </row>
    <row r="57" spans="1:4" x14ac:dyDescent="0.25">
      <c r="A57" t="str">
        <f>IF(ISBLANK('Conceptos creados por usuario'!A19),"",CONCATENATE('Conceptos creados por usuario'!A19,"-",'Conceptos creados por usuario'!B19,"-",'Conceptos creados por usuario'!C19))</f>
        <v/>
      </c>
      <c r="B57">
        <f>'Conceptos creados por usuario'!A19</f>
        <v>0</v>
      </c>
      <c r="C57">
        <f>'Conceptos creados por usuario'!C19</f>
        <v>0</v>
      </c>
      <c r="D57" t="s">
        <v>25</v>
      </c>
    </row>
    <row r="58" spans="1:4" x14ac:dyDescent="0.25">
      <c r="A58" t="str">
        <f>IF(ISBLANK('Conceptos creados por usuario'!A20),"",CONCATENATE('Conceptos creados por usuario'!A20,"-",'Conceptos creados por usuario'!B20,"-",'Conceptos creados por usuario'!C20))</f>
        <v/>
      </c>
      <c r="B58">
        <f>'Conceptos creados por usuario'!A20</f>
        <v>0</v>
      </c>
      <c r="C58">
        <f>'Conceptos creados por usuario'!C20</f>
        <v>0</v>
      </c>
      <c r="D58" t="s">
        <v>25</v>
      </c>
    </row>
    <row r="59" spans="1:4" x14ac:dyDescent="0.25">
      <c r="A59" t="str">
        <f>IF(ISBLANK('Conceptos creados por usuario'!A21),"",CONCATENATE('Conceptos creados por usuario'!A21,"-",'Conceptos creados por usuario'!B21,"-",'Conceptos creados por usuario'!C21))</f>
        <v/>
      </c>
      <c r="B59">
        <f>'Conceptos creados por usuario'!A21</f>
        <v>0</v>
      </c>
      <c r="C59">
        <f>'Conceptos creados por usuario'!C21</f>
        <v>0</v>
      </c>
      <c r="D59" t="s">
        <v>25</v>
      </c>
    </row>
    <row r="60" spans="1:4" x14ac:dyDescent="0.25">
      <c r="A60" t="str">
        <f>IF(ISBLANK('Conceptos creados por usuario'!A22),"",CONCATENATE('Conceptos creados por usuario'!A22,"-",'Conceptos creados por usuario'!B22,"-",'Conceptos creados por usuario'!C22))</f>
        <v/>
      </c>
      <c r="B60">
        <f>'Conceptos creados por usuario'!A22</f>
        <v>0</v>
      </c>
      <c r="C60">
        <f>'Conceptos creados por usuario'!C22</f>
        <v>0</v>
      </c>
      <c r="D60" t="s">
        <v>25</v>
      </c>
    </row>
    <row r="61" spans="1:4" x14ac:dyDescent="0.25">
      <c r="A61" t="str">
        <f>IF(ISBLANK('Conceptos creados por usuario'!A23),"",CONCATENATE('Conceptos creados por usuario'!A23,"-",'Conceptos creados por usuario'!B23,"-",'Conceptos creados por usuario'!C23))</f>
        <v/>
      </c>
      <c r="B61">
        <f>'Conceptos creados por usuario'!A23</f>
        <v>0</v>
      </c>
      <c r="C61">
        <f>'Conceptos creados por usuario'!C23</f>
        <v>0</v>
      </c>
      <c r="D61" t="s">
        <v>25</v>
      </c>
    </row>
    <row r="62" spans="1:4" x14ac:dyDescent="0.25">
      <c r="A62" t="str">
        <f>IF(ISBLANK('Conceptos creados por usuario'!A24),"",CONCATENATE('Conceptos creados por usuario'!A24,"-",'Conceptos creados por usuario'!B24,"-",'Conceptos creados por usuario'!C24))</f>
        <v/>
      </c>
      <c r="B62">
        <f>'Conceptos creados por usuario'!A24</f>
        <v>0</v>
      </c>
      <c r="C62">
        <f>'Conceptos creados por usuario'!C24</f>
        <v>0</v>
      </c>
      <c r="D62" t="s">
        <v>25</v>
      </c>
    </row>
    <row r="63" spans="1:4" x14ac:dyDescent="0.25">
      <c r="A63" t="str">
        <f>IF(ISBLANK('Conceptos creados por usuario'!A25),"",CONCATENATE('Conceptos creados por usuario'!A25,"-",'Conceptos creados por usuario'!B25,"-",'Conceptos creados por usuario'!C25))</f>
        <v/>
      </c>
      <c r="B63">
        <f>'Conceptos creados por usuario'!A25</f>
        <v>0</v>
      </c>
      <c r="C63">
        <f>'Conceptos creados por usuario'!C25</f>
        <v>0</v>
      </c>
      <c r="D63" t="s">
        <v>25</v>
      </c>
    </row>
    <row r="64" spans="1:4" x14ac:dyDescent="0.25">
      <c r="A64" t="str">
        <f>IF(ISBLANK('Conceptos creados por usuario'!A26),"",CONCATENATE('Conceptos creados por usuario'!A26,"-",'Conceptos creados por usuario'!B26,"-",'Conceptos creados por usuario'!C26))</f>
        <v/>
      </c>
      <c r="B64">
        <f>'Conceptos creados por usuario'!A26</f>
        <v>0</v>
      </c>
      <c r="C64">
        <f>'Conceptos creados por usuario'!C26</f>
        <v>0</v>
      </c>
      <c r="D64" t="s">
        <v>25</v>
      </c>
    </row>
    <row r="65" spans="1:4" x14ac:dyDescent="0.25">
      <c r="A65" t="str">
        <f>IF(ISBLANK('Conceptos creados por usuario'!A27),"",CONCATENATE('Conceptos creados por usuario'!A27,"-",'Conceptos creados por usuario'!B27,"-",'Conceptos creados por usuario'!C27))</f>
        <v/>
      </c>
      <c r="B65">
        <f>'Conceptos creados por usuario'!A27</f>
        <v>0</v>
      </c>
      <c r="C65">
        <f>'Conceptos creados por usuario'!C27</f>
        <v>0</v>
      </c>
      <c r="D65" t="s">
        <v>25</v>
      </c>
    </row>
    <row r="66" spans="1:4" x14ac:dyDescent="0.25">
      <c r="A66" t="str">
        <f>IF(ISBLANK('Conceptos creados por usuario'!A28),"",CONCATENATE('Conceptos creados por usuario'!A28,"-",'Conceptos creados por usuario'!B28,"-",'Conceptos creados por usuario'!C28))</f>
        <v/>
      </c>
      <c r="B66">
        <f>'Conceptos creados por usuario'!A28</f>
        <v>0</v>
      </c>
      <c r="C66">
        <f>'Conceptos creados por usuario'!C28</f>
        <v>0</v>
      </c>
      <c r="D66" t="s">
        <v>25</v>
      </c>
    </row>
    <row r="67" spans="1:4" x14ac:dyDescent="0.25">
      <c r="A67" t="str">
        <f>IF(ISBLANK('Conceptos creados por usuario'!A29),"",CONCATENATE('Conceptos creados por usuario'!A29,"-",'Conceptos creados por usuario'!B29,"-",'Conceptos creados por usuario'!C29))</f>
        <v/>
      </c>
      <c r="B67">
        <f>'Conceptos creados por usuario'!A29</f>
        <v>0</v>
      </c>
      <c r="C67">
        <f>'Conceptos creados por usuario'!C29</f>
        <v>0</v>
      </c>
      <c r="D67" t="s">
        <v>25</v>
      </c>
    </row>
    <row r="68" spans="1:4" x14ac:dyDescent="0.25">
      <c r="A68" t="str">
        <f>IF(ISBLANK('Conceptos creados por usuario'!A30),"",CONCATENATE('Conceptos creados por usuario'!A30,"-",'Conceptos creados por usuario'!B30,"-",'Conceptos creados por usuario'!C30))</f>
        <v/>
      </c>
      <c r="B68">
        <f>'Conceptos creados por usuario'!A30</f>
        <v>0</v>
      </c>
      <c r="C68">
        <f>'Conceptos creados por usuario'!C30</f>
        <v>0</v>
      </c>
      <c r="D68" t="s">
        <v>25</v>
      </c>
    </row>
    <row r="69" spans="1:4" x14ac:dyDescent="0.25">
      <c r="A69" t="str">
        <f>IF(ISBLANK('Conceptos creados por usuario'!A31),"",CONCATENATE('Conceptos creados por usuario'!A31,"-",'Conceptos creados por usuario'!B31,"-",'Conceptos creados por usuario'!C31))</f>
        <v/>
      </c>
      <c r="B69">
        <f>'Conceptos creados por usuario'!A31</f>
        <v>0</v>
      </c>
      <c r="C69">
        <f>'Conceptos creados por usuario'!C31</f>
        <v>0</v>
      </c>
      <c r="D69" t="s">
        <v>25</v>
      </c>
    </row>
    <row r="70" spans="1:4" x14ac:dyDescent="0.25">
      <c r="A70" t="str">
        <f>IF(ISBLANK('Conceptos creados por usuario'!A32),"",CONCATENATE('Conceptos creados por usuario'!A32,"-",'Conceptos creados por usuario'!B32,"-",'Conceptos creados por usuario'!C32))</f>
        <v/>
      </c>
      <c r="B70">
        <f>'Conceptos creados por usuario'!A32</f>
        <v>0</v>
      </c>
      <c r="C70">
        <f>'Conceptos creados por usuario'!C32</f>
        <v>0</v>
      </c>
      <c r="D70" t="s">
        <v>25</v>
      </c>
    </row>
    <row r="71" spans="1:4" x14ac:dyDescent="0.25">
      <c r="A71" t="str">
        <f>IF(ISBLANK('Conceptos creados por usuario'!A33),"",CONCATENATE('Conceptos creados por usuario'!A33,"-",'Conceptos creados por usuario'!B33,"-",'Conceptos creados por usuario'!C33))</f>
        <v/>
      </c>
      <c r="B71">
        <f>'Conceptos creados por usuario'!A33</f>
        <v>0</v>
      </c>
      <c r="C71">
        <f>'Conceptos creados por usuario'!C33</f>
        <v>0</v>
      </c>
      <c r="D71" t="s">
        <v>25</v>
      </c>
    </row>
    <row r="72" spans="1:4" x14ac:dyDescent="0.25">
      <c r="A72" t="str">
        <f>IF(ISBLANK('Conceptos creados por usuario'!A34),"",CONCATENATE('Conceptos creados por usuario'!A34,"-",'Conceptos creados por usuario'!B34,"-",'Conceptos creados por usuario'!C34))</f>
        <v/>
      </c>
      <c r="B72">
        <f>'Conceptos creados por usuario'!A34</f>
        <v>0</v>
      </c>
      <c r="C72">
        <f>'Conceptos creados por usuario'!C34</f>
        <v>0</v>
      </c>
      <c r="D72" t="s">
        <v>25</v>
      </c>
    </row>
    <row r="73" spans="1:4" x14ac:dyDescent="0.25">
      <c r="A73" t="str">
        <f>IF(ISBLANK('Conceptos creados por usuario'!A35),"",CONCATENATE('Conceptos creados por usuario'!A35,"-",'Conceptos creados por usuario'!B35,"-",'Conceptos creados por usuario'!C35))</f>
        <v/>
      </c>
      <c r="B73">
        <f>'Conceptos creados por usuario'!A35</f>
        <v>0</v>
      </c>
      <c r="C73">
        <f>'Conceptos creados por usuario'!C35</f>
        <v>0</v>
      </c>
      <c r="D73" t="s">
        <v>25</v>
      </c>
    </row>
    <row r="74" spans="1:4" x14ac:dyDescent="0.25">
      <c r="A74" t="str">
        <f>IF(ISBLANK('Conceptos creados por usuario'!A36),"",CONCATENATE('Conceptos creados por usuario'!A36,"-",'Conceptos creados por usuario'!B36,"-",'Conceptos creados por usuario'!C36))</f>
        <v/>
      </c>
      <c r="B74">
        <f>'Conceptos creados por usuario'!A36</f>
        <v>0</v>
      </c>
      <c r="C74">
        <f>'Conceptos creados por usuario'!C36</f>
        <v>0</v>
      </c>
      <c r="D74" t="s">
        <v>25</v>
      </c>
    </row>
    <row r="75" spans="1:4" x14ac:dyDescent="0.25">
      <c r="A75" t="str">
        <f>IF(ISBLANK('Conceptos creados por usuario'!A37),"",CONCATENATE('Conceptos creados por usuario'!A37,"-",'Conceptos creados por usuario'!B37,"-",'Conceptos creados por usuario'!C37))</f>
        <v/>
      </c>
      <c r="B75">
        <f>'Conceptos creados por usuario'!A37</f>
        <v>0</v>
      </c>
      <c r="C75">
        <f>'Conceptos creados por usuario'!C37</f>
        <v>0</v>
      </c>
      <c r="D75" t="s">
        <v>25</v>
      </c>
    </row>
    <row r="76" spans="1:4" x14ac:dyDescent="0.25">
      <c r="A76" t="str">
        <f>IF(ISBLANK('Conceptos creados por usuario'!A38),"",CONCATENATE('Conceptos creados por usuario'!A38,"-",'Conceptos creados por usuario'!B38,"-",'Conceptos creados por usuario'!C38))</f>
        <v/>
      </c>
      <c r="B76">
        <f>'Conceptos creados por usuario'!A38</f>
        <v>0</v>
      </c>
      <c r="C76">
        <f>'Conceptos creados por usuario'!C38</f>
        <v>0</v>
      </c>
      <c r="D76" t="s">
        <v>25</v>
      </c>
    </row>
    <row r="77" spans="1:4" x14ac:dyDescent="0.25">
      <c r="A77" t="str">
        <f>IF(ISBLANK('Conceptos creados por usuario'!A39),"",CONCATENATE('Conceptos creados por usuario'!A39,"-",'Conceptos creados por usuario'!B39,"-",'Conceptos creados por usuario'!C39))</f>
        <v/>
      </c>
      <c r="B77">
        <f>'Conceptos creados por usuario'!A39</f>
        <v>0</v>
      </c>
      <c r="C77">
        <f>'Conceptos creados por usuario'!C39</f>
        <v>0</v>
      </c>
      <c r="D77" t="s">
        <v>25</v>
      </c>
    </row>
    <row r="78" spans="1:4" x14ac:dyDescent="0.25">
      <c r="A78" t="str">
        <f>IF(ISBLANK('Conceptos creados por usuario'!A40),"",CONCATENATE('Conceptos creados por usuario'!A40,"-",'Conceptos creados por usuario'!B40,"-",'Conceptos creados por usuario'!C40))</f>
        <v/>
      </c>
      <c r="B78">
        <f>'Conceptos creados por usuario'!A40</f>
        <v>0</v>
      </c>
      <c r="C78">
        <f>'Conceptos creados por usuario'!C40</f>
        <v>0</v>
      </c>
      <c r="D78" t="s">
        <v>25</v>
      </c>
    </row>
    <row r="79" spans="1:4" x14ac:dyDescent="0.25">
      <c r="A79" t="str">
        <f>IF(ISBLANK('Conceptos creados por usuario'!A41),"",CONCATENATE('Conceptos creados por usuario'!A41,"-",'Conceptos creados por usuario'!B41,"-",'Conceptos creados por usuario'!C41))</f>
        <v/>
      </c>
      <c r="B79">
        <f>'Conceptos creados por usuario'!A41</f>
        <v>0</v>
      </c>
      <c r="C79">
        <f>'Conceptos creados por usuario'!C41</f>
        <v>0</v>
      </c>
      <c r="D79" t="s">
        <v>25</v>
      </c>
    </row>
    <row r="80" spans="1:4" x14ac:dyDescent="0.25">
      <c r="A80" t="str">
        <f>IF(ISBLANK('Conceptos creados por usuario'!A42),"",CONCATENATE('Conceptos creados por usuario'!A42,"-",'Conceptos creados por usuario'!B42,"-",'Conceptos creados por usuario'!C42))</f>
        <v/>
      </c>
      <c r="B80">
        <f>'Conceptos creados por usuario'!A42</f>
        <v>0</v>
      </c>
      <c r="C80">
        <f>'Conceptos creados por usuario'!C42</f>
        <v>0</v>
      </c>
      <c r="D80" t="s">
        <v>25</v>
      </c>
    </row>
    <row r="81" spans="1:4" x14ac:dyDescent="0.25">
      <c r="A81" t="str">
        <f>IF(ISBLANK('Conceptos creados por usuario'!A43),"",CONCATENATE('Conceptos creados por usuario'!A43,"-",'Conceptos creados por usuario'!B43,"-",'Conceptos creados por usuario'!C43))</f>
        <v/>
      </c>
      <c r="B81">
        <f>'Conceptos creados por usuario'!A43</f>
        <v>0</v>
      </c>
      <c r="C81">
        <f>'Conceptos creados por usuario'!C43</f>
        <v>0</v>
      </c>
      <c r="D81" t="s">
        <v>25</v>
      </c>
    </row>
    <row r="82" spans="1:4" x14ac:dyDescent="0.25">
      <c r="A82" t="str">
        <f>IF(ISBLANK('Conceptos creados por usuario'!A44),"",CONCATENATE('Conceptos creados por usuario'!A44,"-",'Conceptos creados por usuario'!B44,"-",'Conceptos creados por usuario'!C44))</f>
        <v/>
      </c>
      <c r="B82">
        <f>'Conceptos creados por usuario'!A44</f>
        <v>0</v>
      </c>
      <c r="C82">
        <f>'Conceptos creados por usuario'!C44</f>
        <v>0</v>
      </c>
      <c r="D82" t="s">
        <v>25</v>
      </c>
    </row>
    <row r="83" spans="1:4" x14ac:dyDescent="0.25">
      <c r="A83" t="str">
        <f>IF(ISBLANK('Conceptos creados por usuario'!A45),"",CONCATENATE('Conceptos creados por usuario'!A45,"-",'Conceptos creados por usuario'!B45,"-",'Conceptos creados por usuario'!C45))</f>
        <v/>
      </c>
      <c r="B83">
        <f>'Conceptos creados por usuario'!A45</f>
        <v>0</v>
      </c>
      <c r="C83">
        <f>'Conceptos creados por usuario'!C45</f>
        <v>0</v>
      </c>
      <c r="D83" t="s">
        <v>25</v>
      </c>
    </row>
    <row r="84" spans="1:4" x14ac:dyDescent="0.25">
      <c r="A84" t="str">
        <f>IF(ISBLANK('Conceptos creados por usuario'!A46),"",CONCATENATE('Conceptos creados por usuario'!A46,"-",'Conceptos creados por usuario'!B46,"-",'Conceptos creados por usuario'!C46))</f>
        <v/>
      </c>
      <c r="B84">
        <f>'Conceptos creados por usuario'!A46</f>
        <v>0</v>
      </c>
      <c r="C84">
        <f>'Conceptos creados por usuario'!C46</f>
        <v>0</v>
      </c>
      <c r="D84" t="s">
        <v>25</v>
      </c>
    </row>
    <row r="85" spans="1:4" x14ac:dyDescent="0.25">
      <c r="A85" t="str">
        <f>IF(ISBLANK('Conceptos creados por usuario'!A47),"",CONCATENATE('Conceptos creados por usuario'!A47,"-",'Conceptos creados por usuario'!B47,"-",'Conceptos creados por usuario'!C47))</f>
        <v/>
      </c>
      <c r="B85">
        <f>'Conceptos creados por usuario'!A47</f>
        <v>0</v>
      </c>
      <c r="C85">
        <f>'Conceptos creados por usuario'!C47</f>
        <v>0</v>
      </c>
      <c r="D85" t="s">
        <v>25</v>
      </c>
    </row>
    <row r="86" spans="1:4" x14ac:dyDescent="0.25">
      <c r="A86" t="str">
        <f>IF(ISBLANK('Conceptos creados por usuario'!A48),"",CONCATENATE('Conceptos creados por usuario'!A48,"-",'Conceptos creados por usuario'!B48,"-",'Conceptos creados por usuario'!C48))</f>
        <v/>
      </c>
      <c r="B86">
        <f>'Conceptos creados por usuario'!A48</f>
        <v>0</v>
      </c>
      <c r="C86">
        <f>'Conceptos creados por usuario'!C48</f>
        <v>0</v>
      </c>
      <c r="D86" t="s">
        <v>25</v>
      </c>
    </row>
    <row r="87" spans="1:4" x14ac:dyDescent="0.25">
      <c r="A87" t="str">
        <f>IF(ISBLANK('Conceptos creados por usuario'!A49),"",CONCATENATE('Conceptos creados por usuario'!A49,"-",'Conceptos creados por usuario'!B49,"-",'Conceptos creados por usuario'!C49))</f>
        <v/>
      </c>
      <c r="B87">
        <f>'Conceptos creados por usuario'!A49</f>
        <v>0</v>
      </c>
      <c r="C87">
        <f>'Conceptos creados por usuario'!C49</f>
        <v>0</v>
      </c>
      <c r="D87" t="s">
        <v>25</v>
      </c>
    </row>
    <row r="88" spans="1:4" x14ac:dyDescent="0.25">
      <c r="A88" t="str">
        <f>IF(ISBLANK('Conceptos creados por usuario'!A50),"",CONCATENATE('Conceptos creados por usuario'!A50,"-",'Conceptos creados por usuario'!B50,"-",'Conceptos creados por usuario'!C50))</f>
        <v/>
      </c>
      <c r="B88">
        <f>'Conceptos creados por usuario'!A50</f>
        <v>0</v>
      </c>
      <c r="C88">
        <f>'Conceptos creados por usuario'!C50</f>
        <v>0</v>
      </c>
      <c r="D88" t="s">
        <v>25</v>
      </c>
    </row>
    <row r="89" spans="1:4" x14ac:dyDescent="0.25">
      <c r="A89" t="str">
        <f>IF(ISBLANK('Conceptos creados por usuario'!A51),"",CONCATENATE('Conceptos creados por usuario'!A51,"-",'Conceptos creados por usuario'!B51,"-",'Conceptos creados por usuario'!C51))</f>
        <v/>
      </c>
      <c r="B89">
        <f>'Conceptos creados por usuario'!A51</f>
        <v>0</v>
      </c>
      <c r="C89">
        <f>'Conceptos creados por usuario'!C51</f>
        <v>0</v>
      </c>
      <c r="D89" t="s">
        <v>25</v>
      </c>
    </row>
    <row r="90" spans="1:4" x14ac:dyDescent="0.25">
      <c r="A90" t="str">
        <f>IF(ISBLANK('Conceptos creados por usuario'!A52),"",CONCATENATE('Conceptos creados por usuario'!A52,"-",'Conceptos creados por usuario'!B52,"-",'Conceptos creados por usuario'!C52))</f>
        <v/>
      </c>
      <c r="B90">
        <f>'Conceptos creados por usuario'!A52</f>
        <v>0</v>
      </c>
      <c r="C90">
        <f>'Conceptos creados por usuario'!C52</f>
        <v>0</v>
      </c>
      <c r="D90" t="s">
        <v>25</v>
      </c>
    </row>
    <row r="91" spans="1:4" x14ac:dyDescent="0.25">
      <c r="A91" t="str">
        <f>IF(ISBLANK('Conceptos creados por usuario'!A53),"",CONCATENATE('Conceptos creados por usuario'!A53,"-",'Conceptos creados por usuario'!B53,"-",'Conceptos creados por usuario'!C53))</f>
        <v/>
      </c>
      <c r="B91">
        <f>'Conceptos creados por usuario'!A53</f>
        <v>0</v>
      </c>
      <c r="C91">
        <f>'Conceptos creados por usuario'!C53</f>
        <v>0</v>
      </c>
      <c r="D91" t="s">
        <v>25</v>
      </c>
    </row>
    <row r="92" spans="1:4" x14ac:dyDescent="0.25">
      <c r="A92" t="str">
        <f>IF(ISBLANK('Conceptos creados por usuario'!A54),"",CONCATENATE('Conceptos creados por usuario'!A54,"-",'Conceptos creados por usuario'!B54,"-",'Conceptos creados por usuario'!C54))</f>
        <v/>
      </c>
      <c r="B92">
        <f>'Conceptos creados por usuario'!A54</f>
        <v>0</v>
      </c>
      <c r="C92">
        <f>'Conceptos creados por usuario'!C54</f>
        <v>0</v>
      </c>
      <c r="D92" t="s">
        <v>25</v>
      </c>
    </row>
    <row r="93" spans="1:4" x14ac:dyDescent="0.25">
      <c r="A93" t="str">
        <f>IF(ISBLANK('Conceptos creados por usuario'!A55),"",CONCATENATE('Conceptos creados por usuario'!A55,"-",'Conceptos creados por usuario'!B55,"-",'Conceptos creados por usuario'!C55))</f>
        <v/>
      </c>
      <c r="B93">
        <f>'Conceptos creados por usuario'!A55</f>
        <v>0</v>
      </c>
      <c r="C93">
        <f>'Conceptos creados por usuario'!C55</f>
        <v>0</v>
      </c>
      <c r="D93" t="s">
        <v>25</v>
      </c>
    </row>
    <row r="94" spans="1:4" x14ac:dyDescent="0.25">
      <c r="A94" t="str">
        <f>IF(ISBLANK('Conceptos creados por usuario'!A56),"",CONCATENATE('Conceptos creados por usuario'!A56,"-",'Conceptos creados por usuario'!B56,"-",'Conceptos creados por usuario'!C56))</f>
        <v/>
      </c>
      <c r="B94">
        <f>'Conceptos creados por usuario'!A56</f>
        <v>0</v>
      </c>
      <c r="C94">
        <f>'Conceptos creados por usuario'!C56</f>
        <v>0</v>
      </c>
      <c r="D94" t="s">
        <v>25</v>
      </c>
    </row>
    <row r="95" spans="1:4" x14ac:dyDescent="0.25">
      <c r="A95" t="str">
        <f>IF(ISBLANK('Conceptos creados por usuario'!A57),"",CONCATENATE('Conceptos creados por usuario'!A57,"-",'Conceptos creados por usuario'!B57,"-",'Conceptos creados por usuario'!C57))</f>
        <v/>
      </c>
      <c r="B95">
        <f>'Conceptos creados por usuario'!A57</f>
        <v>0</v>
      </c>
      <c r="C95">
        <f>'Conceptos creados por usuario'!C57</f>
        <v>0</v>
      </c>
      <c r="D95" t="s">
        <v>25</v>
      </c>
    </row>
    <row r="96" spans="1:4" x14ac:dyDescent="0.25">
      <c r="A96" t="str">
        <f>IF(ISBLANK('Conceptos creados por usuario'!A58),"",CONCATENATE('Conceptos creados por usuario'!A58,"-",'Conceptos creados por usuario'!B58,"-",'Conceptos creados por usuario'!C58))</f>
        <v/>
      </c>
      <c r="B96">
        <f>'Conceptos creados por usuario'!A58</f>
        <v>0</v>
      </c>
      <c r="C96">
        <f>'Conceptos creados por usuario'!C58</f>
        <v>0</v>
      </c>
      <c r="D96" t="s">
        <v>25</v>
      </c>
    </row>
    <row r="97" spans="1:4" x14ac:dyDescent="0.25">
      <c r="A97" t="str">
        <f>IF(ISBLANK('Conceptos creados por usuario'!A59),"",CONCATENATE('Conceptos creados por usuario'!A59,"-",'Conceptos creados por usuario'!B59,"-",'Conceptos creados por usuario'!C59))</f>
        <v/>
      </c>
      <c r="B97">
        <f>'Conceptos creados por usuario'!A59</f>
        <v>0</v>
      </c>
      <c r="C97">
        <f>'Conceptos creados por usuario'!C59</f>
        <v>0</v>
      </c>
      <c r="D97" t="s">
        <v>25</v>
      </c>
    </row>
    <row r="98" spans="1:4" x14ac:dyDescent="0.25">
      <c r="A98" t="str">
        <f>IF(ISBLANK('Conceptos creados por usuario'!A60),"",CONCATENATE('Conceptos creados por usuario'!A60,"-",'Conceptos creados por usuario'!B60,"-",'Conceptos creados por usuario'!C60))</f>
        <v/>
      </c>
      <c r="B98">
        <f>'Conceptos creados por usuario'!A60</f>
        <v>0</v>
      </c>
      <c r="C98">
        <f>'Conceptos creados por usuario'!C60</f>
        <v>0</v>
      </c>
      <c r="D98" t="s">
        <v>25</v>
      </c>
    </row>
    <row r="99" spans="1:4" x14ac:dyDescent="0.25">
      <c r="A99" t="str">
        <f>IF(ISBLANK('Conceptos creados por usuario'!A61),"",CONCATENATE('Conceptos creados por usuario'!A61,"-",'Conceptos creados por usuario'!B61,"-",'Conceptos creados por usuario'!C61))</f>
        <v/>
      </c>
      <c r="B99">
        <f>'Conceptos creados por usuario'!A61</f>
        <v>0</v>
      </c>
      <c r="C99">
        <f>'Conceptos creados por usuario'!C61</f>
        <v>0</v>
      </c>
      <c r="D99" t="s">
        <v>25</v>
      </c>
    </row>
    <row r="100" spans="1:4" x14ac:dyDescent="0.25">
      <c r="A100" t="str">
        <f>IF(ISBLANK('Conceptos creados por usuario'!A62),"",CONCATENATE('Conceptos creados por usuario'!A62,"-",'Conceptos creados por usuario'!B62,"-",'Conceptos creados por usuario'!C62))</f>
        <v/>
      </c>
      <c r="B100">
        <f>'Conceptos creados por usuario'!A62</f>
        <v>0</v>
      </c>
      <c r="C100">
        <f>'Conceptos creados por usuario'!C62</f>
        <v>0</v>
      </c>
      <c r="D100" t="s">
        <v>25</v>
      </c>
    </row>
    <row r="101" spans="1:4" x14ac:dyDescent="0.25">
      <c r="A101" t="str">
        <f>IF(ISBLANK('Conceptos creados por usuario'!A63),"",CONCATENATE('Conceptos creados por usuario'!A63,"-",'Conceptos creados por usuario'!B63,"-",'Conceptos creados por usuario'!C63))</f>
        <v/>
      </c>
      <c r="B101">
        <f>'Conceptos creados por usuario'!A63</f>
        <v>0</v>
      </c>
      <c r="C101">
        <f>'Conceptos creados por usuario'!C63</f>
        <v>0</v>
      </c>
      <c r="D101" t="s">
        <v>25</v>
      </c>
    </row>
    <row r="102" spans="1:4" x14ac:dyDescent="0.25">
      <c r="A102" t="str">
        <f>IF(ISBLANK('Conceptos creados por usuario'!A64),"",CONCATENATE('Conceptos creados por usuario'!A64,"-",'Conceptos creados por usuario'!B64,"-",'Conceptos creados por usuario'!C64))</f>
        <v/>
      </c>
      <c r="B102">
        <f>'Conceptos creados por usuario'!A64</f>
        <v>0</v>
      </c>
      <c r="C102">
        <f>'Conceptos creados por usuario'!C64</f>
        <v>0</v>
      </c>
      <c r="D102" t="s">
        <v>25</v>
      </c>
    </row>
    <row r="103" spans="1:4" x14ac:dyDescent="0.25">
      <c r="A103" t="str">
        <f>IF(ISBLANK('Conceptos creados por usuario'!A65),"",CONCATENATE('Conceptos creados por usuario'!A65,"-",'Conceptos creados por usuario'!B65,"-",'Conceptos creados por usuario'!C65))</f>
        <v/>
      </c>
      <c r="B103">
        <f>'Conceptos creados por usuario'!A65</f>
        <v>0</v>
      </c>
      <c r="C103">
        <f>'Conceptos creados por usuario'!C65</f>
        <v>0</v>
      </c>
      <c r="D103" t="s">
        <v>25</v>
      </c>
    </row>
    <row r="104" spans="1:4" x14ac:dyDescent="0.25">
      <c r="A104" t="str">
        <f>IF(ISBLANK('Conceptos creados por usuario'!A66),"",CONCATENATE('Conceptos creados por usuario'!A66,"-",'Conceptos creados por usuario'!B66,"-",'Conceptos creados por usuario'!C66))</f>
        <v/>
      </c>
      <c r="B104">
        <f>'Conceptos creados por usuario'!A66</f>
        <v>0</v>
      </c>
      <c r="C104">
        <f>'Conceptos creados por usuario'!C66</f>
        <v>0</v>
      </c>
      <c r="D104" t="s">
        <v>25</v>
      </c>
    </row>
    <row r="105" spans="1:4" x14ac:dyDescent="0.25">
      <c r="A105" t="str">
        <f>IF(ISBLANK('Conceptos creados por usuario'!A67),"",CONCATENATE('Conceptos creados por usuario'!A67,"-",'Conceptos creados por usuario'!B67,"-",'Conceptos creados por usuario'!C67))</f>
        <v/>
      </c>
      <c r="B105">
        <f>'Conceptos creados por usuario'!A67</f>
        <v>0</v>
      </c>
      <c r="C105">
        <f>'Conceptos creados por usuario'!C67</f>
        <v>0</v>
      </c>
      <c r="D105" t="s">
        <v>25</v>
      </c>
    </row>
    <row r="106" spans="1:4" x14ac:dyDescent="0.25">
      <c r="A106" t="str">
        <f>IF(ISBLANK('Conceptos creados por usuario'!A68),"",CONCATENATE('Conceptos creados por usuario'!A68,"-",'Conceptos creados por usuario'!B68,"-",'Conceptos creados por usuario'!C68))</f>
        <v/>
      </c>
      <c r="B106">
        <f>'Conceptos creados por usuario'!A68</f>
        <v>0</v>
      </c>
      <c r="C106">
        <f>'Conceptos creados por usuario'!C68</f>
        <v>0</v>
      </c>
      <c r="D106" t="s">
        <v>25</v>
      </c>
    </row>
    <row r="107" spans="1:4" x14ac:dyDescent="0.25">
      <c r="A107" t="str">
        <f>IF(ISBLANK('Conceptos creados por usuario'!A69),"",CONCATENATE('Conceptos creados por usuario'!A69,"-",'Conceptos creados por usuario'!B69,"-",'Conceptos creados por usuario'!C69))</f>
        <v/>
      </c>
      <c r="B107">
        <f>'Conceptos creados por usuario'!A69</f>
        <v>0</v>
      </c>
      <c r="C107">
        <f>'Conceptos creados por usuario'!C69</f>
        <v>0</v>
      </c>
      <c r="D107" t="s">
        <v>25</v>
      </c>
    </row>
    <row r="108" spans="1:4" x14ac:dyDescent="0.25">
      <c r="A108" t="str">
        <f>IF(ISBLANK('Conceptos creados por usuario'!A70),"",CONCATENATE('Conceptos creados por usuario'!A70,"-",'Conceptos creados por usuario'!B70,"-",'Conceptos creados por usuario'!C70))</f>
        <v/>
      </c>
      <c r="B108">
        <f>'Conceptos creados por usuario'!A70</f>
        <v>0</v>
      </c>
      <c r="C108">
        <f>'Conceptos creados por usuario'!C70</f>
        <v>0</v>
      </c>
      <c r="D108" t="s">
        <v>25</v>
      </c>
    </row>
    <row r="109" spans="1:4" x14ac:dyDescent="0.25">
      <c r="A109" t="str">
        <f>IF(ISBLANK('Conceptos creados por usuario'!A71),"",CONCATENATE('Conceptos creados por usuario'!A71,"-",'Conceptos creados por usuario'!B71,"-",'Conceptos creados por usuario'!C71))</f>
        <v/>
      </c>
      <c r="B109">
        <f>'Conceptos creados por usuario'!A71</f>
        <v>0</v>
      </c>
      <c r="C109">
        <f>'Conceptos creados por usuario'!C71</f>
        <v>0</v>
      </c>
      <c r="D109" t="s">
        <v>25</v>
      </c>
    </row>
    <row r="110" spans="1:4" x14ac:dyDescent="0.25">
      <c r="A110" t="str">
        <f>IF(ISBLANK('Conceptos creados por usuario'!A72),"",CONCATENATE('Conceptos creados por usuario'!A72,"-",'Conceptos creados por usuario'!B72,"-",'Conceptos creados por usuario'!C72))</f>
        <v/>
      </c>
      <c r="B110">
        <f>'Conceptos creados por usuario'!A72</f>
        <v>0</v>
      </c>
      <c r="C110">
        <f>'Conceptos creados por usuario'!C72</f>
        <v>0</v>
      </c>
      <c r="D110" t="s">
        <v>25</v>
      </c>
    </row>
    <row r="111" spans="1:4" x14ac:dyDescent="0.25">
      <c r="A111" t="str">
        <f>IF(ISBLANK('Conceptos creados por usuario'!A73),"",CONCATENATE('Conceptos creados por usuario'!A73,"-",'Conceptos creados por usuario'!B73,"-",'Conceptos creados por usuario'!C73))</f>
        <v/>
      </c>
      <c r="B111">
        <f>'Conceptos creados por usuario'!A73</f>
        <v>0</v>
      </c>
      <c r="C111">
        <f>'Conceptos creados por usuario'!C73</f>
        <v>0</v>
      </c>
      <c r="D111" t="s">
        <v>25</v>
      </c>
    </row>
    <row r="112" spans="1:4" x14ac:dyDescent="0.25">
      <c r="A112" t="str">
        <f>IF(ISBLANK('Conceptos creados por usuario'!A74),"",CONCATENATE('Conceptos creados por usuario'!A74,"-",'Conceptos creados por usuario'!B74,"-",'Conceptos creados por usuario'!C74))</f>
        <v/>
      </c>
      <c r="B112">
        <f>'Conceptos creados por usuario'!A74</f>
        <v>0</v>
      </c>
      <c r="C112">
        <f>'Conceptos creados por usuario'!C74</f>
        <v>0</v>
      </c>
      <c r="D112" t="s">
        <v>25</v>
      </c>
    </row>
    <row r="113" spans="1:4" x14ac:dyDescent="0.25">
      <c r="A113" t="str">
        <f>IF(ISBLANK('Conceptos creados por usuario'!A75),"",CONCATENATE('Conceptos creados por usuario'!A75,"-",'Conceptos creados por usuario'!B75,"-",'Conceptos creados por usuario'!C75))</f>
        <v/>
      </c>
      <c r="B113">
        <f>'Conceptos creados por usuario'!A75</f>
        <v>0</v>
      </c>
      <c r="C113">
        <f>'Conceptos creados por usuario'!C75</f>
        <v>0</v>
      </c>
      <c r="D113" t="s">
        <v>25</v>
      </c>
    </row>
    <row r="114" spans="1:4" x14ac:dyDescent="0.25">
      <c r="A114" t="str">
        <f>IF(ISBLANK('Conceptos creados por usuario'!A76),"",CONCATENATE('Conceptos creados por usuario'!A76,"-",'Conceptos creados por usuario'!B76,"-",'Conceptos creados por usuario'!C76))</f>
        <v/>
      </c>
      <c r="B114">
        <f>'Conceptos creados por usuario'!A76</f>
        <v>0</v>
      </c>
      <c r="C114">
        <f>'Conceptos creados por usuario'!C76</f>
        <v>0</v>
      </c>
      <c r="D114" t="s">
        <v>25</v>
      </c>
    </row>
    <row r="115" spans="1:4" x14ac:dyDescent="0.25">
      <c r="A115" t="str">
        <f>IF(ISBLANK('Conceptos creados por usuario'!A77),"",CONCATENATE('Conceptos creados por usuario'!A77,"-",'Conceptos creados por usuario'!B77,"-",'Conceptos creados por usuario'!C77))</f>
        <v/>
      </c>
      <c r="B115">
        <f>'Conceptos creados por usuario'!A77</f>
        <v>0</v>
      </c>
      <c r="C115">
        <f>'Conceptos creados por usuario'!C77</f>
        <v>0</v>
      </c>
      <c r="D115" t="s">
        <v>25</v>
      </c>
    </row>
    <row r="116" spans="1:4" x14ac:dyDescent="0.25">
      <c r="A116" t="str">
        <f>IF(ISBLANK('Conceptos creados por usuario'!A78),"",CONCATENATE('Conceptos creados por usuario'!A78,"-",'Conceptos creados por usuario'!B78,"-",'Conceptos creados por usuario'!C78))</f>
        <v/>
      </c>
      <c r="B116">
        <f>'Conceptos creados por usuario'!A78</f>
        <v>0</v>
      </c>
      <c r="C116">
        <f>'Conceptos creados por usuario'!C78</f>
        <v>0</v>
      </c>
      <c r="D116" t="s">
        <v>25</v>
      </c>
    </row>
    <row r="117" spans="1:4" x14ac:dyDescent="0.25">
      <c r="A117" t="str">
        <f>IF(ISBLANK('Conceptos creados por usuario'!A79),"",CONCATENATE('Conceptos creados por usuario'!A79,"-",'Conceptos creados por usuario'!B79,"-",'Conceptos creados por usuario'!C79))</f>
        <v/>
      </c>
      <c r="B117">
        <f>'Conceptos creados por usuario'!A79</f>
        <v>0</v>
      </c>
      <c r="C117">
        <f>'Conceptos creados por usuario'!C79</f>
        <v>0</v>
      </c>
      <c r="D117" t="s">
        <v>25</v>
      </c>
    </row>
    <row r="118" spans="1:4" x14ac:dyDescent="0.25">
      <c r="A118" t="str">
        <f>IF(ISBLANK('Conceptos creados por usuario'!A80),"",CONCATENATE('Conceptos creados por usuario'!A80,"-",'Conceptos creados por usuario'!B80,"-",'Conceptos creados por usuario'!C80))</f>
        <v/>
      </c>
      <c r="B118">
        <f>'Conceptos creados por usuario'!A80</f>
        <v>0</v>
      </c>
      <c r="C118">
        <f>'Conceptos creados por usuario'!C80</f>
        <v>0</v>
      </c>
      <c r="D118" t="s">
        <v>25</v>
      </c>
    </row>
    <row r="119" spans="1:4" x14ac:dyDescent="0.25">
      <c r="A119" t="str">
        <f>IF(ISBLANK('Conceptos creados por usuario'!A81),"",CONCATENATE('Conceptos creados por usuario'!A81,"-",'Conceptos creados por usuario'!B81,"-",'Conceptos creados por usuario'!C81))</f>
        <v/>
      </c>
      <c r="B119">
        <f>'Conceptos creados por usuario'!A81</f>
        <v>0</v>
      </c>
      <c r="C119">
        <f>'Conceptos creados por usuario'!C81</f>
        <v>0</v>
      </c>
      <c r="D119" t="s">
        <v>25</v>
      </c>
    </row>
    <row r="120" spans="1:4" x14ac:dyDescent="0.25">
      <c r="A120" t="str">
        <f>IF(ISBLANK('Conceptos creados por usuario'!A82),"",CONCATENATE('Conceptos creados por usuario'!A82,"-",'Conceptos creados por usuario'!B82,"-",'Conceptos creados por usuario'!C82))</f>
        <v/>
      </c>
      <c r="B120">
        <f>'Conceptos creados por usuario'!A82</f>
        <v>0</v>
      </c>
      <c r="C120">
        <f>'Conceptos creados por usuario'!C82</f>
        <v>0</v>
      </c>
      <c r="D120" t="s">
        <v>25</v>
      </c>
    </row>
    <row r="121" spans="1:4" x14ac:dyDescent="0.25">
      <c r="A121" t="str">
        <f>IF(ISBLANK('Conceptos creados por usuario'!A83),"",CONCATENATE('Conceptos creados por usuario'!A83,"-",'Conceptos creados por usuario'!B83,"-",'Conceptos creados por usuario'!C83))</f>
        <v/>
      </c>
      <c r="B121">
        <f>'Conceptos creados por usuario'!A83</f>
        <v>0</v>
      </c>
      <c r="C121">
        <f>'Conceptos creados por usuario'!C83</f>
        <v>0</v>
      </c>
      <c r="D121" t="s">
        <v>25</v>
      </c>
    </row>
    <row r="122" spans="1:4" x14ac:dyDescent="0.25">
      <c r="A122" t="str">
        <f>IF(ISBLANK('Conceptos creados por usuario'!A84),"",CONCATENATE('Conceptos creados por usuario'!A84,"-",'Conceptos creados por usuario'!B84,"-",'Conceptos creados por usuario'!C84))</f>
        <v/>
      </c>
      <c r="B122">
        <f>'Conceptos creados por usuario'!A84</f>
        <v>0</v>
      </c>
      <c r="C122">
        <f>'Conceptos creados por usuario'!C84</f>
        <v>0</v>
      </c>
      <c r="D122" t="s">
        <v>25</v>
      </c>
    </row>
    <row r="123" spans="1:4" x14ac:dyDescent="0.25">
      <c r="A123" t="str">
        <f>IF(ISBLANK('Conceptos creados por usuario'!A85),"",CONCATENATE('Conceptos creados por usuario'!A85,"-",'Conceptos creados por usuario'!B85,"-",'Conceptos creados por usuario'!C85))</f>
        <v/>
      </c>
      <c r="B123">
        <f>'Conceptos creados por usuario'!A85</f>
        <v>0</v>
      </c>
      <c r="C123">
        <f>'Conceptos creados por usuario'!C85</f>
        <v>0</v>
      </c>
      <c r="D123" t="s">
        <v>25</v>
      </c>
    </row>
    <row r="124" spans="1:4" x14ac:dyDescent="0.25">
      <c r="A124" t="str">
        <f>IF(ISBLANK('Conceptos creados por usuario'!A86),"",CONCATENATE('Conceptos creados por usuario'!A86,"-",'Conceptos creados por usuario'!B86,"-",'Conceptos creados por usuario'!C86))</f>
        <v/>
      </c>
      <c r="B124">
        <f>'Conceptos creados por usuario'!A86</f>
        <v>0</v>
      </c>
      <c r="C124">
        <f>'Conceptos creados por usuario'!C86</f>
        <v>0</v>
      </c>
      <c r="D124" t="s">
        <v>25</v>
      </c>
    </row>
    <row r="125" spans="1:4" x14ac:dyDescent="0.25">
      <c r="A125" t="str">
        <f>IF(ISBLANK('Conceptos creados por usuario'!A87),"",CONCATENATE('Conceptos creados por usuario'!A87,"-",'Conceptos creados por usuario'!B87,"-",'Conceptos creados por usuario'!C87))</f>
        <v/>
      </c>
      <c r="B125">
        <f>'Conceptos creados por usuario'!A87</f>
        <v>0</v>
      </c>
      <c r="C125">
        <f>'Conceptos creados por usuario'!C87</f>
        <v>0</v>
      </c>
      <c r="D125" t="s">
        <v>25</v>
      </c>
    </row>
    <row r="126" spans="1:4" x14ac:dyDescent="0.25">
      <c r="A126" t="str">
        <f>IF(ISBLANK('Conceptos creados por usuario'!A88),"",CONCATENATE('Conceptos creados por usuario'!A88,"-",'Conceptos creados por usuario'!B88,"-",'Conceptos creados por usuario'!C88))</f>
        <v/>
      </c>
      <c r="B126">
        <f>'Conceptos creados por usuario'!A88</f>
        <v>0</v>
      </c>
      <c r="C126">
        <f>'Conceptos creados por usuario'!C88</f>
        <v>0</v>
      </c>
      <c r="D126" t="s">
        <v>25</v>
      </c>
    </row>
    <row r="127" spans="1:4" x14ac:dyDescent="0.25">
      <c r="A127" t="str">
        <f>IF(ISBLANK('Conceptos creados por usuario'!A89),"",CONCATENATE('Conceptos creados por usuario'!A89,"-",'Conceptos creados por usuario'!B89,"-",'Conceptos creados por usuario'!C89))</f>
        <v/>
      </c>
      <c r="B127">
        <f>'Conceptos creados por usuario'!A89</f>
        <v>0</v>
      </c>
      <c r="C127">
        <f>'Conceptos creados por usuario'!C89</f>
        <v>0</v>
      </c>
      <c r="D127" t="s">
        <v>25</v>
      </c>
    </row>
    <row r="128" spans="1:4" x14ac:dyDescent="0.25">
      <c r="A128" t="str">
        <f>IF(ISBLANK('Conceptos creados por usuario'!A90),"",CONCATENATE('Conceptos creados por usuario'!A90,"-",'Conceptos creados por usuario'!B90,"-",'Conceptos creados por usuario'!C90))</f>
        <v/>
      </c>
      <c r="B128">
        <f>'Conceptos creados por usuario'!A90</f>
        <v>0</v>
      </c>
      <c r="C128">
        <f>'Conceptos creados por usuario'!C90</f>
        <v>0</v>
      </c>
      <c r="D128" t="s">
        <v>25</v>
      </c>
    </row>
    <row r="129" spans="1:4" x14ac:dyDescent="0.25">
      <c r="A129" t="str">
        <f>IF(ISBLANK('Conceptos creados por usuario'!A91),"",CONCATENATE('Conceptos creados por usuario'!A91,"-",'Conceptos creados por usuario'!B91,"-",'Conceptos creados por usuario'!C91))</f>
        <v/>
      </c>
      <c r="B129">
        <f>'Conceptos creados por usuario'!A91</f>
        <v>0</v>
      </c>
      <c r="C129">
        <f>'Conceptos creados por usuario'!C91</f>
        <v>0</v>
      </c>
      <c r="D129" t="s">
        <v>25</v>
      </c>
    </row>
    <row r="130" spans="1:4" x14ac:dyDescent="0.25">
      <c r="A130" t="str">
        <f>IF(ISBLANK('Conceptos creados por usuario'!A92),"",CONCATENATE('Conceptos creados por usuario'!A92,"-",'Conceptos creados por usuario'!B92,"-",'Conceptos creados por usuario'!C92))</f>
        <v/>
      </c>
      <c r="B130">
        <f>'Conceptos creados por usuario'!A92</f>
        <v>0</v>
      </c>
      <c r="C130">
        <f>'Conceptos creados por usuario'!C92</f>
        <v>0</v>
      </c>
      <c r="D130" t="s">
        <v>25</v>
      </c>
    </row>
    <row r="131" spans="1:4" x14ac:dyDescent="0.25">
      <c r="A131" t="str">
        <f>IF(ISBLANK('Conceptos creados por usuario'!A93),"",CONCATENATE('Conceptos creados por usuario'!A93,"-",'Conceptos creados por usuario'!B93,"-",'Conceptos creados por usuario'!C93))</f>
        <v/>
      </c>
      <c r="B131">
        <f>'Conceptos creados por usuario'!A93</f>
        <v>0</v>
      </c>
      <c r="C131">
        <f>'Conceptos creados por usuario'!C93</f>
        <v>0</v>
      </c>
      <c r="D131" t="s">
        <v>25</v>
      </c>
    </row>
    <row r="132" spans="1:4" x14ac:dyDescent="0.25">
      <c r="A132" t="str">
        <f>IF(ISBLANK('Conceptos creados por usuario'!A94),"",CONCATENATE('Conceptos creados por usuario'!A94,"-",'Conceptos creados por usuario'!B94,"-",'Conceptos creados por usuario'!C94))</f>
        <v/>
      </c>
      <c r="B132">
        <f>'Conceptos creados por usuario'!A94</f>
        <v>0</v>
      </c>
      <c r="C132">
        <f>'Conceptos creados por usuario'!C94</f>
        <v>0</v>
      </c>
      <c r="D132" t="s">
        <v>25</v>
      </c>
    </row>
    <row r="133" spans="1:4" x14ac:dyDescent="0.25">
      <c r="A133" t="str">
        <f>IF(ISBLANK('Conceptos creados por usuario'!A95),"",CONCATENATE('Conceptos creados por usuario'!A95,"-",'Conceptos creados por usuario'!B95,"-",'Conceptos creados por usuario'!C95))</f>
        <v/>
      </c>
      <c r="B133">
        <f>'Conceptos creados por usuario'!A95</f>
        <v>0</v>
      </c>
      <c r="C133">
        <f>'Conceptos creados por usuario'!C95</f>
        <v>0</v>
      </c>
      <c r="D133" t="s">
        <v>25</v>
      </c>
    </row>
    <row r="134" spans="1:4" x14ac:dyDescent="0.25">
      <c r="A134" t="str">
        <f>IF(ISBLANK('Conceptos creados por usuario'!A96),"",CONCATENATE('Conceptos creados por usuario'!A96,"-",'Conceptos creados por usuario'!B96,"-",'Conceptos creados por usuario'!C96))</f>
        <v/>
      </c>
      <c r="B134">
        <f>'Conceptos creados por usuario'!A96</f>
        <v>0</v>
      </c>
      <c r="C134">
        <f>'Conceptos creados por usuario'!C96</f>
        <v>0</v>
      </c>
      <c r="D134" t="s">
        <v>25</v>
      </c>
    </row>
    <row r="135" spans="1:4" x14ac:dyDescent="0.25">
      <c r="A135" t="str">
        <f>IF(ISBLANK('Conceptos creados por usuario'!A97),"",CONCATENATE('Conceptos creados por usuario'!A97,"-",'Conceptos creados por usuario'!B97,"-",'Conceptos creados por usuario'!C97))</f>
        <v/>
      </c>
      <c r="B135">
        <f>'Conceptos creados por usuario'!A97</f>
        <v>0</v>
      </c>
      <c r="C135">
        <f>'Conceptos creados por usuario'!C97</f>
        <v>0</v>
      </c>
      <c r="D135" t="s">
        <v>25</v>
      </c>
    </row>
    <row r="136" spans="1:4" x14ac:dyDescent="0.25">
      <c r="A136" t="str">
        <f>IF(ISBLANK('Conceptos creados por usuario'!A98),"",CONCATENATE('Conceptos creados por usuario'!A98,"-",'Conceptos creados por usuario'!B98,"-",'Conceptos creados por usuario'!C98))</f>
        <v/>
      </c>
      <c r="B136">
        <f>'Conceptos creados por usuario'!A98</f>
        <v>0</v>
      </c>
      <c r="C136">
        <f>'Conceptos creados por usuario'!C98</f>
        <v>0</v>
      </c>
      <c r="D136" t="s">
        <v>25</v>
      </c>
    </row>
    <row r="137" spans="1:4" x14ac:dyDescent="0.25">
      <c r="A137" t="str">
        <f>IF(ISBLANK('Conceptos creados por usuario'!A99),"",CONCATENATE('Conceptos creados por usuario'!A99,"-",'Conceptos creados por usuario'!B99,"-",'Conceptos creados por usuario'!C99))</f>
        <v/>
      </c>
      <c r="B137">
        <f>'Conceptos creados por usuario'!A99</f>
        <v>0</v>
      </c>
      <c r="C137">
        <f>'Conceptos creados por usuario'!C99</f>
        <v>0</v>
      </c>
      <c r="D137" t="s">
        <v>25</v>
      </c>
    </row>
    <row r="138" spans="1:4" x14ac:dyDescent="0.25">
      <c r="A138" t="str">
        <f>IF(ISBLANK('Conceptos creados por usuario'!A100),"",CONCATENATE('Conceptos creados por usuario'!A100,"-",'Conceptos creados por usuario'!B100,"-",'Conceptos creados por usuario'!C100))</f>
        <v/>
      </c>
      <c r="B138">
        <f>'Conceptos creados por usuario'!A100</f>
        <v>0</v>
      </c>
      <c r="C138">
        <f>'Conceptos creados por usuario'!C100</f>
        <v>0</v>
      </c>
      <c r="D138" t="s">
        <v>25</v>
      </c>
    </row>
    <row r="139" spans="1:4" x14ac:dyDescent="0.25">
      <c r="A139" t="str">
        <f>IF(ISBLANK('Conceptos creados por usuario'!A101),"",CONCATENATE('Conceptos creados por usuario'!A101,"-",'Conceptos creados por usuario'!B101,"-",'Conceptos creados por usuario'!C101))</f>
        <v/>
      </c>
      <c r="B139">
        <f>'Conceptos creados por usuario'!A101</f>
        <v>0</v>
      </c>
      <c r="C139">
        <f>'Conceptos creados por usuario'!C101</f>
        <v>0</v>
      </c>
      <c r="D139" t="s">
        <v>25</v>
      </c>
    </row>
    <row r="140" spans="1:4" x14ac:dyDescent="0.25">
      <c r="A140" t="str">
        <f>IF(ISBLANK('Conceptos creados por usuario'!A102),"",CONCATENATE('Conceptos creados por usuario'!A102,"-",'Conceptos creados por usuario'!B102,"-",'Conceptos creados por usuario'!C102))</f>
        <v/>
      </c>
      <c r="B140">
        <f>'Conceptos creados por usuario'!A102</f>
        <v>0</v>
      </c>
      <c r="C140">
        <f>'Conceptos creados por usuario'!C102</f>
        <v>0</v>
      </c>
      <c r="D140" t="s">
        <v>25</v>
      </c>
    </row>
    <row r="141" spans="1:4" x14ac:dyDescent="0.25">
      <c r="A141" t="str">
        <f>IF(ISBLANK('Conceptos creados por usuario'!A103),"",CONCATENATE('Conceptos creados por usuario'!A103,"-",'Conceptos creados por usuario'!B103,"-",'Conceptos creados por usuario'!C103))</f>
        <v/>
      </c>
      <c r="B141">
        <f>'Conceptos creados por usuario'!A103</f>
        <v>0</v>
      </c>
      <c r="C141">
        <f>'Conceptos creados por usuario'!C103</f>
        <v>0</v>
      </c>
      <c r="D141" t="s">
        <v>25</v>
      </c>
    </row>
    <row r="142" spans="1:4" x14ac:dyDescent="0.25">
      <c r="A142" t="str">
        <f>IF(ISBLANK('Conceptos creados por usuario'!A104),"",CONCATENATE('Conceptos creados por usuario'!A104,"-",'Conceptos creados por usuario'!B104,"-",'Conceptos creados por usuario'!C104))</f>
        <v/>
      </c>
      <c r="B142">
        <f>'Conceptos creados por usuario'!A104</f>
        <v>0</v>
      </c>
      <c r="C142">
        <f>'Conceptos creados por usuario'!C104</f>
        <v>0</v>
      </c>
      <c r="D142" t="s">
        <v>25</v>
      </c>
    </row>
    <row r="143" spans="1:4" x14ac:dyDescent="0.25">
      <c r="A143" t="str">
        <f>IF(ISBLANK('Conceptos creados por usuario'!A105),"",CONCATENATE('Conceptos creados por usuario'!A105,"-",'Conceptos creados por usuario'!B105,"-",'Conceptos creados por usuario'!C105))</f>
        <v/>
      </c>
      <c r="B143">
        <f>'Conceptos creados por usuario'!A105</f>
        <v>0</v>
      </c>
      <c r="C143">
        <f>'Conceptos creados por usuario'!C105</f>
        <v>0</v>
      </c>
      <c r="D143" t="s">
        <v>25</v>
      </c>
    </row>
    <row r="144" spans="1:4" x14ac:dyDescent="0.25">
      <c r="A144" t="str">
        <f>IF(ISBLANK('Conceptos creados por usuario'!A106),"",CONCATENATE('Conceptos creados por usuario'!A106,"-",'Conceptos creados por usuario'!B106,"-",'Conceptos creados por usuario'!C106))</f>
        <v/>
      </c>
      <c r="B144">
        <f>'Conceptos creados por usuario'!A106</f>
        <v>0</v>
      </c>
      <c r="C144">
        <f>'Conceptos creados por usuario'!C106</f>
        <v>0</v>
      </c>
      <c r="D144" t="s">
        <v>25</v>
      </c>
    </row>
    <row r="145" spans="1:4" x14ac:dyDescent="0.25">
      <c r="A145" t="str">
        <f>IF(ISBLANK('Conceptos creados por usuario'!A107),"",CONCATENATE('Conceptos creados por usuario'!A107,"-",'Conceptos creados por usuario'!B107,"-",'Conceptos creados por usuario'!C107))</f>
        <v/>
      </c>
      <c r="B145">
        <f>'Conceptos creados por usuario'!A107</f>
        <v>0</v>
      </c>
      <c r="C145">
        <f>'Conceptos creados por usuario'!C107</f>
        <v>0</v>
      </c>
      <c r="D145" t="s">
        <v>25</v>
      </c>
    </row>
    <row r="146" spans="1:4" x14ac:dyDescent="0.25">
      <c r="A146" t="str">
        <f>IF(ISBLANK('Conceptos creados por usuario'!A108),"",CONCATENATE('Conceptos creados por usuario'!A108,"-",'Conceptos creados por usuario'!B108,"-",'Conceptos creados por usuario'!C108))</f>
        <v/>
      </c>
      <c r="B146">
        <f>'Conceptos creados por usuario'!A108</f>
        <v>0</v>
      </c>
      <c r="C146">
        <f>'Conceptos creados por usuario'!C108</f>
        <v>0</v>
      </c>
      <c r="D146" t="s">
        <v>25</v>
      </c>
    </row>
    <row r="147" spans="1:4" x14ac:dyDescent="0.25">
      <c r="A147" t="str">
        <f>IF(ISBLANK('Conceptos creados por usuario'!A109),"",CONCATENATE('Conceptos creados por usuario'!A109,"-",'Conceptos creados por usuario'!B109,"-",'Conceptos creados por usuario'!C109))</f>
        <v/>
      </c>
      <c r="B147">
        <f>'Conceptos creados por usuario'!A109</f>
        <v>0</v>
      </c>
      <c r="C147">
        <f>'Conceptos creados por usuario'!C109</f>
        <v>0</v>
      </c>
      <c r="D147" t="s">
        <v>25</v>
      </c>
    </row>
    <row r="148" spans="1:4" x14ac:dyDescent="0.25">
      <c r="A148" t="str">
        <f>IF(ISBLANK('Conceptos creados por usuario'!A110),"",CONCATENATE('Conceptos creados por usuario'!A110,"-",'Conceptos creados por usuario'!B110,"-",'Conceptos creados por usuario'!C110))</f>
        <v/>
      </c>
      <c r="B148">
        <f>'Conceptos creados por usuario'!A110</f>
        <v>0</v>
      </c>
      <c r="C148">
        <f>'Conceptos creados por usuario'!C110</f>
        <v>0</v>
      </c>
      <c r="D148" t="s">
        <v>25</v>
      </c>
    </row>
    <row r="149" spans="1:4" x14ac:dyDescent="0.25">
      <c r="A149" t="str">
        <f>IF(ISBLANK('Conceptos creados por usuario'!A111),"",CONCATENATE('Conceptos creados por usuario'!A111,"-",'Conceptos creados por usuario'!B111,"-",'Conceptos creados por usuario'!C111))</f>
        <v/>
      </c>
      <c r="B149">
        <f>'Conceptos creados por usuario'!A111</f>
        <v>0</v>
      </c>
      <c r="C149">
        <f>'Conceptos creados por usuario'!C111</f>
        <v>0</v>
      </c>
      <c r="D149" t="s">
        <v>25</v>
      </c>
    </row>
    <row r="150" spans="1:4" x14ac:dyDescent="0.25">
      <c r="A150" t="str">
        <f>IF(ISBLANK('Conceptos creados por usuario'!A112),"",CONCATENATE('Conceptos creados por usuario'!A112,"-",'Conceptos creados por usuario'!B112,"-",'Conceptos creados por usuario'!C112))</f>
        <v/>
      </c>
      <c r="B150">
        <f>'Conceptos creados por usuario'!A112</f>
        <v>0</v>
      </c>
      <c r="C150">
        <f>'Conceptos creados por usuario'!C112</f>
        <v>0</v>
      </c>
      <c r="D150" t="s">
        <v>25</v>
      </c>
    </row>
    <row r="151" spans="1:4" x14ac:dyDescent="0.25">
      <c r="A151" t="str">
        <f>IF(ISBLANK('Conceptos creados por usuario'!A113),"",CONCATENATE('Conceptos creados por usuario'!A113,"-",'Conceptos creados por usuario'!B113,"-",'Conceptos creados por usuario'!C113))</f>
        <v/>
      </c>
      <c r="B151">
        <f>'Conceptos creados por usuario'!A113</f>
        <v>0</v>
      </c>
      <c r="C151">
        <f>'Conceptos creados por usuario'!C113</f>
        <v>0</v>
      </c>
      <c r="D151" t="s">
        <v>25</v>
      </c>
    </row>
    <row r="152" spans="1:4" x14ac:dyDescent="0.25">
      <c r="A152" t="str">
        <f>IF(ISBLANK('Conceptos creados por usuario'!A114),"",CONCATENATE('Conceptos creados por usuario'!A114,"-",'Conceptos creados por usuario'!B114,"-",'Conceptos creados por usuario'!C114))</f>
        <v/>
      </c>
      <c r="B152">
        <f>'Conceptos creados por usuario'!A114</f>
        <v>0</v>
      </c>
      <c r="C152">
        <f>'Conceptos creados por usuario'!C114</f>
        <v>0</v>
      </c>
      <c r="D152" t="s">
        <v>25</v>
      </c>
    </row>
    <row r="153" spans="1:4" x14ac:dyDescent="0.25">
      <c r="A153" t="str">
        <f>IF(ISBLANK('Conceptos creados por usuario'!A115),"",CONCATENATE('Conceptos creados por usuario'!A115,"-",'Conceptos creados por usuario'!B115,"-",'Conceptos creados por usuario'!C115))</f>
        <v/>
      </c>
      <c r="B153">
        <f>'Conceptos creados por usuario'!A115</f>
        <v>0</v>
      </c>
      <c r="C153">
        <f>'Conceptos creados por usuario'!C115</f>
        <v>0</v>
      </c>
      <c r="D153" t="s">
        <v>25</v>
      </c>
    </row>
    <row r="154" spans="1:4" x14ac:dyDescent="0.25">
      <c r="A154" t="str">
        <f>IF(ISBLANK('Conceptos creados por usuario'!A116),"",CONCATENATE('Conceptos creados por usuario'!A116,"-",'Conceptos creados por usuario'!B116,"-",'Conceptos creados por usuario'!C116))</f>
        <v/>
      </c>
      <c r="B154">
        <f>'Conceptos creados por usuario'!A116</f>
        <v>0</v>
      </c>
      <c r="C154">
        <f>'Conceptos creados por usuario'!C116</f>
        <v>0</v>
      </c>
      <c r="D154" t="s">
        <v>25</v>
      </c>
    </row>
    <row r="155" spans="1:4" x14ac:dyDescent="0.25">
      <c r="A155" t="str">
        <f>IF(ISBLANK('Conceptos creados por usuario'!A117),"",CONCATENATE('Conceptos creados por usuario'!A117,"-",'Conceptos creados por usuario'!B117,"-",'Conceptos creados por usuario'!C117))</f>
        <v/>
      </c>
      <c r="B155">
        <f>'Conceptos creados por usuario'!A117</f>
        <v>0</v>
      </c>
      <c r="C155">
        <f>'Conceptos creados por usuario'!C117</f>
        <v>0</v>
      </c>
      <c r="D155" t="s">
        <v>25</v>
      </c>
    </row>
    <row r="156" spans="1:4" x14ac:dyDescent="0.25">
      <c r="A156" t="str">
        <f>IF(ISBLANK('Conceptos creados por usuario'!A118),"",CONCATENATE('Conceptos creados por usuario'!A118,"-",'Conceptos creados por usuario'!B118,"-",'Conceptos creados por usuario'!C118))</f>
        <v/>
      </c>
      <c r="B156">
        <f>'Conceptos creados por usuario'!A118</f>
        <v>0</v>
      </c>
      <c r="C156">
        <f>'Conceptos creados por usuario'!C118</f>
        <v>0</v>
      </c>
      <c r="D156" t="s">
        <v>25</v>
      </c>
    </row>
    <row r="157" spans="1:4" x14ac:dyDescent="0.25">
      <c r="A157" t="str">
        <f>IF(ISBLANK('Conceptos creados por usuario'!A119),"",CONCATENATE('Conceptos creados por usuario'!A119,"-",'Conceptos creados por usuario'!B119,"-",'Conceptos creados por usuario'!C119))</f>
        <v/>
      </c>
      <c r="B157">
        <f>'Conceptos creados por usuario'!A119</f>
        <v>0</v>
      </c>
      <c r="C157">
        <f>'Conceptos creados por usuario'!C119</f>
        <v>0</v>
      </c>
      <c r="D157" t="s">
        <v>25</v>
      </c>
    </row>
    <row r="158" spans="1:4" x14ac:dyDescent="0.25">
      <c r="A158" t="str">
        <f>IF(ISBLANK('Conceptos creados por usuario'!A120),"",CONCATENATE('Conceptos creados por usuario'!A120,"-",'Conceptos creados por usuario'!B120,"-",'Conceptos creados por usuario'!C120))</f>
        <v/>
      </c>
      <c r="B158">
        <f>'Conceptos creados por usuario'!A120</f>
        <v>0</v>
      </c>
      <c r="C158">
        <f>'Conceptos creados por usuario'!C120</f>
        <v>0</v>
      </c>
      <c r="D158" t="s">
        <v>25</v>
      </c>
    </row>
    <row r="159" spans="1:4" x14ac:dyDescent="0.25">
      <c r="A159" t="str">
        <f>IF(ISBLANK('Conceptos creados por usuario'!A121),"",CONCATENATE('Conceptos creados por usuario'!A121,"-",'Conceptos creados por usuario'!B121,"-",'Conceptos creados por usuario'!C121))</f>
        <v/>
      </c>
      <c r="B159">
        <f>'Conceptos creados por usuario'!A121</f>
        <v>0</v>
      </c>
      <c r="C159">
        <f>'Conceptos creados por usuario'!C121</f>
        <v>0</v>
      </c>
      <c r="D159" t="s">
        <v>25</v>
      </c>
    </row>
    <row r="160" spans="1:4" x14ac:dyDescent="0.25">
      <c r="A160" t="str">
        <f>IF(ISBLANK('Conceptos creados por usuario'!A122),"",CONCATENATE('Conceptos creados por usuario'!A122,"-",'Conceptos creados por usuario'!B122,"-",'Conceptos creados por usuario'!C122))</f>
        <v/>
      </c>
      <c r="B160">
        <f>'Conceptos creados por usuario'!A122</f>
        <v>0</v>
      </c>
      <c r="C160">
        <f>'Conceptos creados por usuario'!C122</f>
        <v>0</v>
      </c>
      <c r="D160" t="s">
        <v>25</v>
      </c>
    </row>
    <row r="161" spans="1:4" x14ac:dyDescent="0.25">
      <c r="A161" t="str">
        <f>IF(ISBLANK('Conceptos creados por usuario'!A123),"",CONCATENATE('Conceptos creados por usuario'!A123,"-",'Conceptos creados por usuario'!B123,"-",'Conceptos creados por usuario'!C123))</f>
        <v/>
      </c>
      <c r="B161">
        <f>'Conceptos creados por usuario'!A123</f>
        <v>0</v>
      </c>
      <c r="C161">
        <f>'Conceptos creados por usuario'!C123</f>
        <v>0</v>
      </c>
      <c r="D161" t="s">
        <v>25</v>
      </c>
    </row>
    <row r="162" spans="1:4" x14ac:dyDescent="0.25">
      <c r="A162" t="str">
        <f>IF(ISBLANK('Conceptos creados por usuario'!A124),"",CONCATENATE('Conceptos creados por usuario'!A124,"-",'Conceptos creados por usuario'!B124,"-",'Conceptos creados por usuario'!C124))</f>
        <v/>
      </c>
      <c r="B162">
        <f>'Conceptos creados por usuario'!A124</f>
        <v>0</v>
      </c>
      <c r="C162">
        <f>'Conceptos creados por usuario'!C124</f>
        <v>0</v>
      </c>
      <c r="D162" t="s">
        <v>25</v>
      </c>
    </row>
    <row r="163" spans="1:4" x14ac:dyDescent="0.25">
      <c r="A163" t="str">
        <f>IF(ISBLANK('Conceptos creados por usuario'!A125),"",CONCATENATE('Conceptos creados por usuario'!A125,"-",'Conceptos creados por usuario'!B125,"-",'Conceptos creados por usuario'!C125))</f>
        <v/>
      </c>
      <c r="B163">
        <f>'Conceptos creados por usuario'!A125</f>
        <v>0</v>
      </c>
      <c r="C163">
        <f>'Conceptos creados por usuario'!C125</f>
        <v>0</v>
      </c>
      <c r="D163" t="s">
        <v>25</v>
      </c>
    </row>
    <row r="164" spans="1:4" x14ac:dyDescent="0.25">
      <c r="A164" t="str">
        <f>IF(ISBLANK('Conceptos creados por usuario'!A126),"",CONCATENATE('Conceptos creados por usuario'!A126,"-",'Conceptos creados por usuario'!B126,"-",'Conceptos creados por usuario'!C126))</f>
        <v/>
      </c>
      <c r="B164">
        <f>'Conceptos creados por usuario'!A126</f>
        <v>0</v>
      </c>
      <c r="C164">
        <f>'Conceptos creados por usuario'!C126</f>
        <v>0</v>
      </c>
      <c r="D164" t="s">
        <v>25</v>
      </c>
    </row>
    <row r="165" spans="1:4" x14ac:dyDescent="0.25">
      <c r="A165" t="str">
        <f>IF(ISBLANK('Conceptos creados por usuario'!A127),"",CONCATENATE('Conceptos creados por usuario'!A127,"-",'Conceptos creados por usuario'!B127,"-",'Conceptos creados por usuario'!C127))</f>
        <v/>
      </c>
      <c r="B165">
        <f>'Conceptos creados por usuario'!A127</f>
        <v>0</v>
      </c>
      <c r="C165">
        <f>'Conceptos creados por usuario'!C127</f>
        <v>0</v>
      </c>
      <c r="D165" t="s">
        <v>25</v>
      </c>
    </row>
    <row r="166" spans="1:4" x14ac:dyDescent="0.25">
      <c r="A166" t="str">
        <f>IF(ISBLANK('Conceptos creados por usuario'!A128),"",CONCATENATE('Conceptos creados por usuario'!A128,"-",'Conceptos creados por usuario'!B128,"-",'Conceptos creados por usuario'!C128))</f>
        <v/>
      </c>
      <c r="B166">
        <f>'Conceptos creados por usuario'!A128</f>
        <v>0</v>
      </c>
      <c r="C166">
        <f>'Conceptos creados por usuario'!C128</f>
        <v>0</v>
      </c>
      <c r="D166" t="s">
        <v>25</v>
      </c>
    </row>
    <row r="167" spans="1:4" x14ac:dyDescent="0.25">
      <c r="A167" t="str">
        <f>IF(ISBLANK('Conceptos creados por usuario'!A129),"",CONCATENATE('Conceptos creados por usuario'!A129,"-",'Conceptos creados por usuario'!B129,"-",'Conceptos creados por usuario'!C129))</f>
        <v/>
      </c>
      <c r="B167">
        <f>'Conceptos creados por usuario'!A129</f>
        <v>0</v>
      </c>
      <c r="C167">
        <f>'Conceptos creados por usuario'!C129</f>
        <v>0</v>
      </c>
      <c r="D167" t="s">
        <v>25</v>
      </c>
    </row>
    <row r="168" spans="1:4" x14ac:dyDescent="0.25">
      <c r="A168" t="str">
        <f>IF(ISBLANK('Conceptos creados por usuario'!A130),"",CONCATENATE('Conceptos creados por usuario'!A130,"-",'Conceptos creados por usuario'!B130,"-",'Conceptos creados por usuario'!C130))</f>
        <v/>
      </c>
      <c r="B168">
        <f>'Conceptos creados por usuario'!A130</f>
        <v>0</v>
      </c>
      <c r="C168">
        <f>'Conceptos creados por usuario'!C130</f>
        <v>0</v>
      </c>
      <c r="D168" t="s">
        <v>25</v>
      </c>
    </row>
    <row r="169" spans="1:4" x14ac:dyDescent="0.25">
      <c r="A169" t="str">
        <f>IF(ISBLANK('Conceptos creados por usuario'!A131),"",CONCATENATE('Conceptos creados por usuario'!A131,"-",'Conceptos creados por usuario'!B131,"-",'Conceptos creados por usuario'!C131))</f>
        <v/>
      </c>
      <c r="B169">
        <f>'Conceptos creados por usuario'!A131</f>
        <v>0</v>
      </c>
      <c r="C169">
        <f>'Conceptos creados por usuario'!C131</f>
        <v>0</v>
      </c>
      <c r="D169" t="s">
        <v>25</v>
      </c>
    </row>
    <row r="170" spans="1:4" x14ac:dyDescent="0.25">
      <c r="A170" t="str">
        <f>IF(ISBLANK('Conceptos creados por usuario'!A132),"",CONCATENATE('Conceptos creados por usuario'!A132,"-",'Conceptos creados por usuario'!B132,"-",'Conceptos creados por usuario'!C132))</f>
        <v/>
      </c>
      <c r="B170">
        <f>'Conceptos creados por usuario'!A132</f>
        <v>0</v>
      </c>
      <c r="C170">
        <f>'Conceptos creados por usuario'!C132</f>
        <v>0</v>
      </c>
      <c r="D170" t="s">
        <v>25</v>
      </c>
    </row>
    <row r="171" spans="1:4" x14ac:dyDescent="0.25">
      <c r="A171" t="str">
        <f>IF(ISBLANK('Conceptos creados por usuario'!A133),"",CONCATENATE('Conceptos creados por usuario'!A133,"-",'Conceptos creados por usuario'!B133,"-",'Conceptos creados por usuario'!C133))</f>
        <v/>
      </c>
      <c r="B171">
        <f>'Conceptos creados por usuario'!A133</f>
        <v>0</v>
      </c>
      <c r="C171">
        <f>'Conceptos creados por usuario'!C133</f>
        <v>0</v>
      </c>
      <c r="D171" t="s">
        <v>25</v>
      </c>
    </row>
    <row r="172" spans="1:4" x14ac:dyDescent="0.25">
      <c r="A172" t="str">
        <f>IF(ISBLANK('Conceptos creados por usuario'!A134),"",CONCATENATE('Conceptos creados por usuario'!A134,"-",'Conceptos creados por usuario'!B134,"-",'Conceptos creados por usuario'!C134))</f>
        <v/>
      </c>
      <c r="B172">
        <f>'Conceptos creados por usuario'!A134</f>
        <v>0</v>
      </c>
      <c r="C172">
        <f>'Conceptos creados por usuario'!C134</f>
        <v>0</v>
      </c>
      <c r="D172" t="s">
        <v>25</v>
      </c>
    </row>
    <row r="173" spans="1:4" x14ac:dyDescent="0.25">
      <c r="A173" t="str">
        <f>IF(ISBLANK('Conceptos creados por usuario'!A135),"",CONCATENATE('Conceptos creados por usuario'!A135,"-",'Conceptos creados por usuario'!B135,"-",'Conceptos creados por usuario'!C135))</f>
        <v/>
      </c>
      <c r="B173">
        <f>'Conceptos creados por usuario'!A135</f>
        <v>0</v>
      </c>
      <c r="C173">
        <f>'Conceptos creados por usuario'!C135</f>
        <v>0</v>
      </c>
      <c r="D173" t="s">
        <v>25</v>
      </c>
    </row>
    <row r="174" spans="1:4" x14ac:dyDescent="0.25">
      <c r="A174" t="str">
        <f>IF(ISBLANK('Conceptos creados por usuario'!A136),"",CONCATENATE('Conceptos creados por usuario'!A136,"-",'Conceptos creados por usuario'!B136,"-",'Conceptos creados por usuario'!C136))</f>
        <v/>
      </c>
      <c r="B174">
        <f>'Conceptos creados por usuario'!A136</f>
        <v>0</v>
      </c>
      <c r="C174">
        <f>'Conceptos creados por usuario'!C136</f>
        <v>0</v>
      </c>
      <c r="D174" t="s">
        <v>25</v>
      </c>
    </row>
    <row r="175" spans="1:4" x14ac:dyDescent="0.25">
      <c r="A175" t="str">
        <f>IF(ISBLANK('Conceptos creados por usuario'!A137),"",CONCATENATE('Conceptos creados por usuario'!A137,"-",'Conceptos creados por usuario'!B137,"-",'Conceptos creados por usuario'!C137))</f>
        <v/>
      </c>
      <c r="B175">
        <f>'Conceptos creados por usuario'!A137</f>
        <v>0</v>
      </c>
      <c r="C175">
        <f>'Conceptos creados por usuario'!C137</f>
        <v>0</v>
      </c>
      <c r="D175" t="s">
        <v>25</v>
      </c>
    </row>
    <row r="176" spans="1:4" x14ac:dyDescent="0.25">
      <c r="A176" t="str">
        <f>IF(ISBLANK('Conceptos creados por usuario'!A138),"",CONCATENATE('Conceptos creados por usuario'!A138,"-",'Conceptos creados por usuario'!B138,"-",'Conceptos creados por usuario'!C138))</f>
        <v/>
      </c>
      <c r="B176">
        <f>'Conceptos creados por usuario'!A138</f>
        <v>0</v>
      </c>
      <c r="C176">
        <f>'Conceptos creados por usuario'!C138</f>
        <v>0</v>
      </c>
      <c r="D176" t="s">
        <v>25</v>
      </c>
    </row>
    <row r="177" spans="1:4" x14ac:dyDescent="0.25">
      <c r="A177" t="str">
        <f>IF(ISBLANK('Conceptos creados por usuario'!A139),"",CONCATENATE('Conceptos creados por usuario'!A139,"-",'Conceptos creados por usuario'!B139,"-",'Conceptos creados por usuario'!C139))</f>
        <v/>
      </c>
      <c r="B177">
        <f>'Conceptos creados por usuario'!A139</f>
        <v>0</v>
      </c>
      <c r="C177">
        <f>'Conceptos creados por usuario'!C139</f>
        <v>0</v>
      </c>
      <c r="D177" t="s">
        <v>25</v>
      </c>
    </row>
    <row r="178" spans="1:4" x14ac:dyDescent="0.25">
      <c r="A178" t="str">
        <f>IF(ISBLANK('Conceptos creados por usuario'!A140),"",CONCATENATE('Conceptos creados por usuario'!A140,"-",'Conceptos creados por usuario'!B140,"-",'Conceptos creados por usuario'!C140))</f>
        <v/>
      </c>
      <c r="B178">
        <f>'Conceptos creados por usuario'!A140</f>
        <v>0</v>
      </c>
      <c r="C178">
        <f>'Conceptos creados por usuario'!C140</f>
        <v>0</v>
      </c>
      <c r="D178" t="s">
        <v>25</v>
      </c>
    </row>
    <row r="179" spans="1:4" x14ac:dyDescent="0.25">
      <c r="A179" t="str">
        <f>IF(ISBLANK('Conceptos creados por usuario'!A141),"",CONCATENATE('Conceptos creados por usuario'!A141,"-",'Conceptos creados por usuario'!B141,"-",'Conceptos creados por usuario'!C141))</f>
        <v/>
      </c>
      <c r="B179">
        <f>'Conceptos creados por usuario'!A141</f>
        <v>0</v>
      </c>
      <c r="C179">
        <f>'Conceptos creados por usuario'!C141</f>
        <v>0</v>
      </c>
      <c r="D179" t="s">
        <v>25</v>
      </c>
    </row>
    <row r="180" spans="1:4" x14ac:dyDescent="0.25">
      <c r="A180" t="str">
        <f>IF(ISBLANK('Conceptos creados por usuario'!A142),"",CONCATENATE('Conceptos creados por usuario'!A142,"-",'Conceptos creados por usuario'!B142,"-",'Conceptos creados por usuario'!C142))</f>
        <v/>
      </c>
      <c r="B180">
        <f>'Conceptos creados por usuario'!A142</f>
        <v>0</v>
      </c>
      <c r="C180">
        <f>'Conceptos creados por usuario'!C142</f>
        <v>0</v>
      </c>
      <c r="D180" t="s">
        <v>25</v>
      </c>
    </row>
    <row r="181" spans="1:4" x14ac:dyDescent="0.25">
      <c r="A181" t="str">
        <f>IF(ISBLANK('Conceptos creados por usuario'!A143),"",CONCATENATE('Conceptos creados por usuario'!A143,"-",'Conceptos creados por usuario'!B143,"-",'Conceptos creados por usuario'!C143))</f>
        <v/>
      </c>
      <c r="B181">
        <f>'Conceptos creados por usuario'!A143</f>
        <v>0</v>
      </c>
      <c r="C181">
        <f>'Conceptos creados por usuario'!C143</f>
        <v>0</v>
      </c>
      <c r="D181" t="s">
        <v>25</v>
      </c>
    </row>
    <row r="182" spans="1:4" x14ac:dyDescent="0.25">
      <c r="A182" t="str">
        <f>IF(ISBLANK('Conceptos creados por usuario'!A144),"",CONCATENATE('Conceptos creados por usuario'!A144,"-",'Conceptos creados por usuario'!B144,"-",'Conceptos creados por usuario'!C144))</f>
        <v/>
      </c>
      <c r="B182">
        <f>'Conceptos creados por usuario'!A144</f>
        <v>0</v>
      </c>
      <c r="C182">
        <f>'Conceptos creados por usuario'!C144</f>
        <v>0</v>
      </c>
      <c r="D182" t="s">
        <v>25</v>
      </c>
    </row>
    <row r="183" spans="1:4" x14ac:dyDescent="0.25">
      <c r="A183" t="str">
        <f>IF(ISBLANK('Conceptos creados por usuario'!A145),"",CONCATENATE('Conceptos creados por usuario'!A145,"-",'Conceptos creados por usuario'!B145,"-",'Conceptos creados por usuario'!C145))</f>
        <v/>
      </c>
      <c r="B183">
        <f>'Conceptos creados por usuario'!A145</f>
        <v>0</v>
      </c>
      <c r="C183">
        <f>'Conceptos creados por usuario'!C145</f>
        <v>0</v>
      </c>
      <c r="D183" t="s">
        <v>25</v>
      </c>
    </row>
    <row r="184" spans="1:4" x14ac:dyDescent="0.25">
      <c r="A184" t="str">
        <f>IF(ISBLANK('Conceptos creados por usuario'!A146),"",CONCATENATE('Conceptos creados por usuario'!A146,"-",'Conceptos creados por usuario'!B146,"-",'Conceptos creados por usuario'!C146))</f>
        <v/>
      </c>
      <c r="B184">
        <f>'Conceptos creados por usuario'!A146</f>
        <v>0</v>
      </c>
      <c r="C184">
        <f>'Conceptos creados por usuario'!C146</f>
        <v>0</v>
      </c>
      <c r="D184" t="s">
        <v>25</v>
      </c>
    </row>
    <row r="185" spans="1:4" x14ac:dyDescent="0.25">
      <c r="A185" t="str">
        <f>IF(ISBLANK('Conceptos creados por usuario'!A147),"",CONCATENATE('Conceptos creados por usuario'!A147,"-",'Conceptos creados por usuario'!B147,"-",'Conceptos creados por usuario'!C147))</f>
        <v/>
      </c>
      <c r="B185">
        <f>'Conceptos creados por usuario'!A147</f>
        <v>0</v>
      </c>
      <c r="C185">
        <f>'Conceptos creados por usuario'!C147</f>
        <v>0</v>
      </c>
      <c r="D185" t="s">
        <v>25</v>
      </c>
    </row>
    <row r="186" spans="1:4" x14ac:dyDescent="0.25">
      <c r="A186" t="str">
        <f>IF(ISBLANK('Conceptos creados por usuario'!A148),"",CONCATENATE('Conceptos creados por usuario'!A148,"-",'Conceptos creados por usuario'!B148,"-",'Conceptos creados por usuario'!C148))</f>
        <v/>
      </c>
      <c r="B186">
        <f>'Conceptos creados por usuario'!A148</f>
        <v>0</v>
      </c>
      <c r="C186">
        <f>'Conceptos creados por usuario'!C148</f>
        <v>0</v>
      </c>
      <c r="D186" t="s">
        <v>25</v>
      </c>
    </row>
    <row r="187" spans="1:4" x14ac:dyDescent="0.25">
      <c r="A187" t="str">
        <f>IF(ISBLANK('Conceptos creados por usuario'!A149),"",CONCATENATE('Conceptos creados por usuario'!A149,"-",'Conceptos creados por usuario'!B149,"-",'Conceptos creados por usuario'!C149))</f>
        <v/>
      </c>
      <c r="B187">
        <f>'Conceptos creados por usuario'!A149</f>
        <v>0</v>
      </c>
      <c r="C187">
        <f>'Conceptos creados por usuario'!C149</f>
        <v>0</v>
      </c>
      <c r="D187" t="s">
        <v>25</v>
      </c>
    </row>
    <row r="188" spans="1:4" x14ac:dyDescent="0.25">
      <c r="A188" t="str">
        <f>IF(ISBLANK('Conceptos creados por usuario'!A150),"",CONCATENATE('Conceptos creados por usuario'!A150,"-",'Conceptos creados por usuario'!B150,"-",'Conceptos creados por usuario'!C150))</f>
        <v/>
      </c>
      <c r="B188">
        <f>'Conceptos creados por usuario'!A150</f>
        <v>0</v>
      </c>
      <c r="C188">
        <f>'Conceptos creados por usuario'!C150</f>
        <v>0</v>
      </c>
      <c r="D188" t="s">
        <v>25</v>
      </c>
    </row>
    <row r="189" spans="1:4" x14ac:dyDescent="0.25">
      <c r="A189" t="str">
        <f>IF(ISBLANK('Conceptos creados por usuario'!A151),"",CONCATENATE('Conceptos creados por usuario'!A151,"-",'Conceptos creados por usuario'!B151,"-",'Conceptos creados por usuario'!C151))</f>
        <v/>
      </c>
      <c r="B189">
        <f>'Conceptos creados por usuario'!A151</f>
        <v>0</v>
      </c>
      <c r="C189">
        <f>'Conceptos creados por usuario'!C151</f>
        <v>0</v>
      </c>
      <c r="D189" t="s">
        <v>25</v>
      </c>
    </row>
    <row r="190" spans="1:4" x14ac:dyDescent="0.25">
      <c r="A190" t="str">
        <f>IF(ISBLANK('Conceptos creados por usuario'!A152),"",CONCATENATE('Conceptos creados por usuario'!A152,"-",'Conceptos creados por usuario'!B152,"-",'Conceptos creados por usuario'!C152))</f>
        <v/>
      </c>
      <c r="B190">
        <f>'Conceptos creados por usuario'!A152</f>
        <v>0</v>
      </c>
      <c r="C190">
        <f>'Conceptos creados por usuario'!C152</f>
        <v>0</v>
      </c>
      <c r="D190" t="s">
        <v>25</v>
      </c>
    </row>
    <row r="191" spans="1:4" x14ac:dyDescent="0.25">
      <c r="A191" t="str">
        <f>IF(ISBLANK('Conceptos creados por usuario'!A153),"",CONCATENATE('Conceptos creados por usuario'!A153,"-",'Conceptos creados por usuario'!B153,"-",'Conceptos creados por usuario'!C153))</f>
        <v/>
      </c>
      <c r="B191">
        <f>'Conceptos creados por usuario'!A153</f>
        <v>0</v>
      </c>
      <c r="C191">
        <f>'Conceptos creados por usuario'!C153</f>
        <v>0</v>
      </c>
      <c r="D191" t="s">
        <v>25</v>
      </c>
    </row>
    <row r="192" spans="1:4" x14ac:dyDescent="0.25">
      <c r="A192" t="str">
        <f>IF(ISBLANK('Conceptos creados por usuario'!A154),"",CONCATENATE('Conceptos creados por usuario'!A154,"-",'Conceptos creados por usuario'!B154,"-",'Conceptos creados por usuario'!C154))</f>
        <v/>
      </c>
      <c r="B192">
        <f>'Conceptos creados por usuario'!A154</f>
        <v>0</v>
      </c>
      <c r="C192">
        <f>'Conceptos creados por usuario'!C154</f>
        <v>0</v>
      </c>
      <c r="D192" t="s">
        <v>25</v>
      </c>
    </row>
    <row r="193" spans="1:4" x14ac:dyDescent="0.25">
      <c r="A193" t="str">
        <f>IF(ISBLANK('Conceptos creados por usuario'!A155),"",CONCATENATE('Conceptos creados por usuario'!A155,"-",'Conceptos creados por usuario'!B155,"-",'Conceptos creados por usuario'!C155))</f>
        <v/>
      </c>
      <c r="B193">
        <f>'Conceptos creados por usuario'!A155</f>
        <v>0</v>
      </c>
      <c r="C193">
        <f>'Conceptos creados por usuario'!C155</f>
        <v>0</v>
      </c>
      <c r="D193" t="s">
        <v>25</v>
      </c>
    </row>
    <row r="194" spans="1:4" x14ac:dyDescent="0.25">
      <c r="A194" t="str">
        <f>IF(ISBLANK('Conceptos creados por usuario'!A156),"",CONCATENATE('Conceptos creados por usuario'!A156,"-",'Conceptos creados por usuario'!B156,"-",'Conceptos creados por usuario'!C156))</f>
        <v/>
      </c>
      <c r="B194">
        <f>'Conceptos creados por usuario'!A156</f>
        <v>0</v>
      </c>
      <c r="C194">
        <f>'Conceptos creados por usuario'!C156</f>
        <v>0</v>
      </c>
      <c r="D194" t="s">
        <v>25</v>
      </c>
    </row>
    <row r="195" spans="1:4" x14ac:dyDescent="0.25">
      <c r="A195" t="str">
        <f>IF(ISBLANK('Conceptos creados por usuario'!A157),"",CONCATENATE('Conceptos creados por usuario'!A157,"-",'Conceptos creados por usuario'!B157,"-",'Conceptos creados por usuario'!C157))</f>
        <v/>
      </c>
      <c r="B195">
        <f>'Conceptos creados por usuario'!A157</f>
        <v>0</v>
      </c>
      <c r="C195">
        <f>'Conceptos creados por usuario'!C157</f>
        <v>0</v>
      </c>
      <c r="D195" t="s">
        <v>25</v>
      </c>
    </row>
    <row r="196" spans="1:4" x14ac:dyDescent="0.25">
      <c r="A196" t="str">
        <f>IF(ISBLANK('Conceptos creados por usuario'!A158),"",CONCATENATE('Conceptos creados por usuario'!A158,"-",'Conceptos creados por usuario'!B158,"-",'Conceptos creados por usuario'!C158))</f>
        <v/>
      </c>
      <c r="B196">
        <f>'Conceptos creados por usuario'!A158</f>
        <v>0</v>
      </c>
      <c r="C196">
        <f>'Conceptos creados por usuario'!C158</f>
        <v>0</v>
      </c>
      <c r="D196" t="s">
        <v>25</v>
      </c>
    </row>
    <row r="197" spans="1:4" x14ac:dyDescent="0.25">
      <c r="A197" t="str">
        <f>IF(ISBLANK('Conceptos creados por usuario'!A159),"",CONCATENATE('Conceptos creados por usuario'!A159,"-",'Conceptos creados por usuario'!B159,"-",'Conceptos creados por usuario'!C159))</f>
        <v/>
      </c>
      <c r="B197">
        <f>'Conceptos creados por usuario'!A159</f>
        <v>0</v>
      </c>
      <c r="C197">
        <f>'Conceptos creados por usuario'!C159</f>
        <v>0</v>
      </c>
      <c r="D197" t="s">
        <v>25</v>
      </c>
    </row>
    <row r="198" spans="1:4" x14ac:dyDescent="0.25">
      <c r="A198" t="str">
        <f>IF(ISBLANK('Conceptos creados por usuario'!A160),"",CONCATENATE('Conceptos creados por usuario'!A160,"-",'Conceptos creados por usuario'!B160,"-",'Conceptos creados por usuario'!C160))</f>
        <v/>
      </c>
      <c r="B198">
        <f>'Conceptos creados por usuario'!A160</f>
        <v>0</v>
      </c>
      <c r="C198">
        <f>'Conceptos creados por usuario'!C160</f>
        <v>0</v>
      </c>
      <c r="D198" t="s">
        <v>25</v>
      </c>
    </row>
  </sheetData>
  <sheetProtection algorithmName="SHA-512" hashValue="b8CPG8g217hVIV20UyTahfhutxgCVtGW/xOYNdv0qH72SeVAO+VUyPtoybxzZzI6g8MWygDpxap59Va0Ev1xRA==" saltValue="8fsR9iT16o9gfgOaQWltlg==" spinCount="100000" sheet="1" objects="1" scenarios="1"/>
  <sortState columnSort="0" caseSensitive="0" sortMethod="none" ref="O2:P1152">
    <sortCondition descending="0" sortBy="value" ref="O1" iconSet="3Arrows"/>
  </sortState>
  <pageMargins left="0.7" right="0.7" top="0.75" bottom="0.75" header="0.3" footer="0.3"/>
  <pageSetup paperSize="9" orientation="portrait" r:id="rId1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7146DEF1AC59489C89DB0DD28F24DC" ma:contentTypeVersion="12" ma:contentTypeDescription="Create a new document." ma:contentTypeScope="" ma:versionID="0fcf298a1e417707f7c40ae67d3d2aa0">
  <xsd:schema xmlns:xsd="http://www.w3.org/2001/XMLSchema" xmlns:xs="http://www.w3.org/2001/XMLSchema" xmlns:p="http://schemas.microsoft.com/office/2006/metadata/properties" xmlns:ns2="fd09d1a7-6b08-46e7-8b8b-bfa43c1fb4a1" xmlns:ns3="5d9c5fdb-8803-4375-ae03-85c287985c4c" targetNamespace="http://schemas.microsoft.com/office/2006/metadata/properties" ma:root="true" ma:fieldsID="f77569a744a4610efb4d8287102023a4" ns2:_="" ns3:_="">
    <xsd:import namespace="fd09d1a7-6b08-46e7-8b8b-bfa43c1fb4a1"/>
    <xsd:import namespace="5d9c5fdb-8803-4375-ae03-85c287985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9d1a7-6b08-46e7-8b8b-bfa43c1fb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c60628-ebda-48b2-acf7-952243f1d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5fdb-8803-4375-ae03-85c287985c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21a10d-44f3-42f9-ad2e-64ca33d4e840}" ma:internalName="TaxCatchAll" ma:showField="CatchAllData" ma:web="5d9c5fdb-8803-4375-ae03-85c287985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09d1a7-6b08-46e7-8b8b-bfa43c1fb4a1">
      <Terms xmlns="http://schemas.microsoft.com/office/infopath/2007/PartnerControls"/>
    </lcf76f155ced4ddcb4097134ff3c332f>
    <TaxCatchAll xmlns="5d9c5fdb-8803-4375-ae03-85c287985c4c" xsi:nil="true"/>
  </documentManagement>
</p:properties>
</file>

<file path=customXml/itemProps1.xml><?xml version="1.0" encoding="utf-8"?>
<ds:datastoreItem xmlns:ds="http://schemas.openxmlformats.org/officeDocument/2006/customXml" ds:itemID="{78FE4E7F-794F-40FC-853E-502DDE7F82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CFC185-9E4B-4ADC-841C-20666FA68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09d1a7-6b08-46e7-8b8b-bfa43c1fb4a1"/>
    <ds:schemaRef ds:uri="5d9c5fdb-8803-4375-ae03-85c287985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B73F45-755C-4915-A0A0-D539FFA03884}">
  <ds:schemaRefs>
    <ds:schemaRef ds:uri="http://schemas.microsoft.com/office/2006/metadata/properties"/>
    <ds:schemaRef ds:uri="http://schemas.microsoft.com/office/infopath/2007/PartnerControls"/>
    <ds:schemaRef ds:uri="fd09d1a7-6b08-46e7-8b8b-bfa43c1fb4a1"/>
    <ds:schemaRef ds:uri="5d9c5fdb-8803-4375-ae03-85c287985c4c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Manager/>
  <Company>Milenio PC</Company>
  <ScaleCrop>false</ScaleCrop>
  <HeadingPairs>
    <vt:vector baseType="variant" size="2">
      <vt:variant>
        <vt:lpstr>Hojas de cálculo</vt:lpstr>
      </vt:variant>
      <vt:variant>
        <vt:i4>3</vt:i4>
      </vt:variant>
    </vt:vector>
  </HeadingPairs>
  <TitlesOfParts>
    <vt:vector baseType="lpstr" size="3">
      <vt:lpstr>Novedades</vt:lpstr>
      <vt:lpstr>Conceptos creados por usuario</vt:lpstr>
      <vt:lpstr>datos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2019-12-26T15:03:52Z</dcterms:created>
  <dc:creator>Manuel Andres Solano Duran</dc:creator>
  <cp:lastModifiedBy>Valeria Nastar Cordoba</cp:lastModifiedBy>
  <dcterms:modified xsi:type="dcterms:W3CDTF">2026-06-24T22:31:19Z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ContentTypeId">
    <lpwstr xmlns="http://schemas.openxmlformats.org/officeDocument/2006/docPropsVTypes">0x010100B87146DEF1AC59489C89DB0DD28F24DC</lpwstr>
  </property>
  <property fmtid="{D5CDD505-2E9C-101B-9397-08002B2CF9AE}" pid="3" name="MSIP_Label_e2430106-5354-4682-8f10-907bdfa2a0be_Enabled">
    <lpwstr xmlns="http://schemas.openxmlformats.org/officeDocument/2006/docPropsVTypes">true</lpwstr>
  </property>
  <property fmtid="{D5CDD505-2E9C-101B-9397-08002B2CF9AE}" pid="4" name="MSIP_Label_e2430106-5354-4682-8f10-907bdfa2a0be_SetDate">
    <lpwstr xmlns="http://schemas.openxmlformats.org/officeDocument/2006/docPropsVTypes">2023-09-26T22:52:45Z</lpwstr>
  </property>
  <property fmtid="{D5CDD505-2E9C-101B-9397-08002B2CF9AE}" pid="5" name="MSIP_Label_e2430106-5354-4682-8f10-907bdfa2a0be_Method">
    <lpwstr xmlns="http://schemas.openxmlformats.org/officeDocument/2006/docPropsVTypes">Standard</lpwstr>
  </property>
  <property fmtid="{D5CDD505-2E9C-101B-9397-08002B2CF9AE}" pid="6" name="MSIP_Label_e2430106-5354-4682-8f10-907bdfa2a0be_Name">
    <lpwstr xmlns="http://schemas.openxmlformats.org/officeDocument/2006/docPropsVTypes">defa4170-0d19-0005-0004-bc88714345d2</lpwstr>
  </property>
  <property fmtid="{D5CDD505-2E9C-101B-9397-08002B2CF9AE}" pid="7" name="MSIP_Label_e2430106-5354-4682-8f10-907bdfa2a0be_SiteId">
    <lpwstr xmlns="http://schemas.openxmlformats.org/officeDocument/2006/docPropsVTypes">3a7479db-d9ff-4e0b-9d0a-380a5e714f6f</lpwstr>
  </property>
  <property fmtid="{D5CDD505-2E9C-101B-9397-08002B2CF9AE}" pid="8" name="MSIP_Label_e2430106-5354-4682-8f10-907bdfa2a0be_ActionId">
    <lpwstr xmlns="http://schemas.openxmlformats.org/officeDocument/2006/docPropsVTypes">2cf70a7b-21db-45cd-ad89-edda5f1e1f1d</lpwstr>
  </property>
  <property fmtid="{D5CDD505-2E9C-101B-9397-08002B2CF9AE}" pid="9" name="MSIP_Label_e2430106-5354-4682-8f10-907bdfa2a0be_ContentBits">
    <lpwstr xmlns="http://schemas.openxmlformats.org/officeDocument/2006/docPropsVTypes">0</lpwstr>
  </property>
  <property fmtid="{D5CDD505-2E9C-101B-9397-08002B2CF9AE}" pid="10" name="MediaServiceImageTags">
    <lpwstr xmlns="http://schemas.openxmlformats.org/officeDocument/2006/docPropsVTypes"/>
  </property>
  <property fmtid="{D5CDD505-2E9C-101B-9397-08002B2CF9AE}" pid="11" name="Generator">
    <lpwstr xmlns="http://schemas.openxmlformats.org/officeDocument/2006/docPropsVTypes">NPOI</lpwstr>
  </property>
  <property fmtid="{D5CDD505-2E9C-101B-9397-08002B2CF9AE}" pid="12" name="Generator Version">
    <lpwstr xmlns="http://schemas.openxmlformats.org/officeDocument/2006/docPropsVTypes">2.6.0</lpwstr>
  </property>
</Properties>
</file>
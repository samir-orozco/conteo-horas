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4011"/>
  <sheets>
    <sheet name="Novedades" sheetId="1" r:id="rId1"/>
    <sheet name="Conceptos creados por usuario" sheetId="2" r:id="rId2"/>
    <sheet name="datos" sheetId="3" r:id="rId3" state="hidden"/>
  </sheets>
</workbook>
</file>

<file path=xl/comments1.xml><?xml version="1.0" encoding="utf-8"?>
<comments xmlns="http://schemas.openxmlformats.org/spreadsheetml/2006/main">
  <authors>
    <author>Wilmer Andres Camacho Velasco</author>
  </authors>
  <commentList>
    <comment ref="F5" authorId="0">
      <text>
        <t>Al cargar una novedad LPF, los días se calcularán a la mitad y se aproximarán al entero más cercano de acuerdo a las fechas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43" formatCode="_-* #,##0.00_-;\-* #,##0.00_-;_-* &quot;-&quot;??_-;_-@_-"/>
    <numFmt numFmtId="56" formatCode="&quot;上午/下午 &quot;hh&quot;時&quot;mm&quot;分&quot;ss&quot;秒 &quot;"/>
    <numFmt numFmtId="164" formatCode="#,##0_ ;\-#,##0\ 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K527"/>
  <sheetViews>
    <sheetView workbookViewId="0" rightToLeft="0"/>
  </sheetViews>
  <sheetData>
    <row r="2">
      <c r="E2" t="str">
        <v>Resumen novedades</v>
      </c>
      <c r="I2" t="str">
        <v>IMPORTANTE</v>
      </c>
    </row>
    <row r="3">
      <c r="E3" t="str">
        <f>CONCATENATE((COUNTIF(E6:E504,"Horas"))," novedad(es), con un total de ",(SUMIF(E6:E504,"Horas",F6:F504))," HORAS")</f>
        <v>0 novedad(es), con un total de 0 HORAS</v>
      </c>
      <c r="F3" t="str">
        <f>CONCATENATE((COUNTIF(E6:E504,"Dias"))," novedad(es), con un total de ",(SUMIF(E6:E504,"Dias",F6:F504))," DIAS")</f>
        <v>0 novedad(es), con un total de 0 DIAS</v>
      </c>
      <c r="G3" t="str">
        <f>CONCATENATE((COUNTIF(J6:J504,"IngresoValor $"))," novedad(es) de INGRESO con un valor total: ",(SUMIF(J:J,"IngresoValor $",F:F)))</f>
        <v>0 novedad(es) de INGRESO con un valor total: 0</v>
      </c>
      <c r="H3" t="str">
        <f>CONCATENATE((COUNTIF(J6:J504,"DeducciónValor $"))," novedad(es) de DEDUCCIÓN con un valor total: ",(SUMIF(J:J,"DeducciónValor $",Novedades!F:F)))</f>
        <v>0 novedad(es) de DEDUCCIÓN con un valor total: 0</v>
      </c>
      <c r="I3" t="str">
        <v>Si creaste conceptos adicionales a los parametrizados en SIIGO NÓMINA, los debes adicionar en la pestaña de Conceptos creados por usuario</v>
      </c>
    </row>
    <row r="5">
      <c r="A5" t="str">
        <v>#Contrato del empleado</v>
      </c>
      <c r="B5" t="str">
        <v>Identificación del empleado</v>
      </c>
      <c r="C5" t="str">
        <v>Nombre del empleado</v>
      </c>
      <c r="D5" t="str">
        <v>¿Qué novedad le vas a cargar?</v>
      </c>
      <c r="E5" t="str">
        <v>Tipo de Novedad</v>
      </c>
      <c r="F5" t="str">
        <v>Asigna la cantidad de Días/Horas o el valor de la novedad</v>
      </c>
      <c r="G5" t="str">
        <v>¿Cuál es la fecha de inicio de la novedad? (DD/MM/AAAA)</v>
      </c>
      <c r="H5" t="str">
        <v>¿Cuál es la fecha de fin de la novedad?  (DD/MM/AAAA)</v>
      </c>
      <c r="I5" t="str">
        <v>Indica en número, los días no hábiles (si no aplica coloca 0)</v>
      </c>
      <c r="J5" t="str">
        <v>Tipo</v>
      </c>
    </row>
    <row r="505">
      <c r="A505" t="str">
        <v>HASTA ACA PUEDES INCLUIR INFORMACION, SI NECESITAS MAS SOLO EBES CREAR OTROS ARCHIVO</v>
      </c>
    </row>
  </sheetData>
  <mergeCells count="3">
    <mergeCell ref="E2:H2"/>
    <mergeCell ref="I3:K3"/>
    <mergeCell ref="I2:K2"/>
  </mergeCells>
  <pageMargins left="0.7" right="0.7" top="0.75" bottom="0.75" header="0.3" footer="0.3"/>
  <ignoredErrors>
    <ignoredError numberStoredAsText="1" sqref="A1:AK527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"/>
  <sheetViews>
    <sheetView workbookViewId="0" rightToLeft="0"/>
  </sheetViews>
  <sheetData>
    <row r="1">
      <c r="A1" t="str">
        <v>CONCEPTOS CREADOS POR EL USUARIO</v>
      </c>
    </row>
    <row r="2">
      <c r="A2" t="str">
        <v>Numero del concepto</v>
      </c>
      <c r="B2" t="str">
        <v>Nombre del concepto</v>
      </c>
      <c r="C2" t="str">
        <v xml:space="preserve">Tipo </v>
      </c>
      <c r="E2" t="str">
        <v>Si creaste conceptos adicionales a los parametrizados en SIIGO NUBE en la ruta Configuración - Nómina/usuarios - Parámetros de nómina - Conceptos de nómina, los debes adicionar en la tabla: CONCEPTOS CREADOS POR EL USUARIO</v>
      </c>
    </row>
    <row r="3">
      <c r="A3">
        <v>49</v>
      </c>
      <c r="B3" t="str">
        <v>Compra de producto</v>
      </c>
      <c r="C3" t="str">
        <v>Deducción</v>
      </c>
    </row>
  </sheetData>
  <mergeCells count="2">
    <mergeCell ref="A1:C1"/>
    <mergeCell ref="E2:E5"/>
  </mergeCells>
  <pageMargins left="0.7" right="0.7" top="0.75" bottom="0.75" header="0.3" footer="0.3"/>
  <ignoredErrors>
    <ignoredError numberStoredAsText="1" sqref="A1:E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198"/>
  <sheetViews>
    <sheetView workbookViewId="0" rightToLeft="0"/>
  </sheetViews>
  <sheetData>
    <row r="1">
      <c r="A1" t="str">
        <v>concepto</v>
      </c>
      <c r="B1" t="str">
        <v>Código</v>
      </c>
      <c r="C1" t="str">
        <v>tipo in o d</v>
      </c>
      <c r="E1" t="str">
        <v>Tipo novedad</v>
      </c>
      <c r="F1" t="str">
        <v>tipo2</v>
      </c>
    </row>
    <row r="2">
      <c r="A2" t="str">
        <v>01- Anticipo de cesantías- Ingreso</v>
      </c>
      <c r="B2">
        <v>1</v>
      </c>
      <c r="C2" t="str">
        <v>Ingreso</v>
      </c>
      <c r="D2" t="str">
        <v>Valor $</v>
      </c>
      <c r="E2" t="str">
        <v>Dias</v>
      </c>
      <c r="F2" t="str">
        <v>Ingreso</v>
      </c>
    </row>
    <row r="3">
      <c r="A3" t="str">
        <v>02- Auxilio de transporte- Ingreso</v>
      </c>
      <c r="B3">
        <v>2</v>
      </c>
      <c r="C3" t="str">
        <v>Ingreso</v>
      </c>
      <c r="D3" t="str">
        <v>Valor $</v>
      </c>
      <c r="E3" t="str">
        <v>Horas</v>
      </c>
      <c r="F3" t="str">
        <v>Deducción</v>
      </c>
    </row>
    <row r="4">
      <c r="A4" t="str">
        <v>03- Cesantías anuales- Ingreso</v>
      </c>
      <c r="B4">
        <v>3</v>
      </c>
      <c r="C4" t="str">
        <v>Ingreso</v>
      </c>
      <c r="D4" t="str">
        <v>Valor $</v>
      </c>
      <c r="E4" t="str">
        <v>Valor $</v>
      </c>
    </row>
    <row r="5">
      <c r="A5" t="str">
        <v>06- Hora dominical o festiva nocturna- Ingreso</v>
      </c>
      <c r="B5">
        <v>6</v>
      </c>
      <c r="C5" t="str">
        <v>Ingreso</v>
      </c>
      <c r="D5" t="str">
        <v>Horas</v>
      </c>
    </row>
    <row r="6">
      <c r="A6" t="str">
        <v>07- Hora extra diurna dominical o festiva- Ingreso</v>
      </c>
      <c r="B6">
        <v>7</v>
      </c>
      <c r="C6" t="str">
        <v>Ingreso</v>
      </c>
      <c r="D6" t="str">
        <v>Horas</v>
      </c>
    </row>
    <row r="7">
      <c r="A7" t="str">
        <v>08- Hora extra recargo dominical o festivo- Ingreso</v>
      </c>
      <c r="B7">
        <v>8</v>
      </c>
      <c r="C7" t="str">
        <v>Ingreso</v>
      </c>
      <c r="D7" t="str">
        <v>Horas</v>
      </c>
    </row>
    <row r="8">
      <c r="A8" t="str">
        <v>09- Hora extra recargo nocturno- Ingreso</v>
      </c>
      <c r="B8">
        <v>9</v>
      </c>
      <c r="C8" t="str">
        <v>Ingreso</v>
      </c>
      <c r="D8" t="str">
        <v>Horas</v>
      </c>
    </row>
    <row r="9">
      <c r="A9" t="str">
        <v>10- Horas extras diurnas 125%- Ingreso</v>
      </c>
      <c r="B9">
        <v>10</v>
      </c>
      <c r="C9" t="str">
        <v>Ingreso</v>
      </c>
      <c r="D9" t="str">
        <v>Horas</v>
      </c>
    </row>
    <row r="10">
      <c r="A10" t="str">
        <v>11- Horas extras nocturnas 175%- Ingreso</v>
      </c>
      <c r="B10">
        <v>11</v>
      </c>
      <c r="C10" t="str">
        <v>Ingreso</v>
      </c>
      <c r="D10" t="str">
        <v>Horas</v>
      </c>
    </row>
    <row r="11">
      <c r="A11" t="str">
        <v>12- Horas extras nocturnas dominical o festiva- Ingreso</v>
      </c>
      <c r="B11">
        <v>12</v>
      </c>
      <c r="C11" t="str">
        <v>Ingreso</v>
      </c>
      <c r="D11" t="str">
        <v>Horas</v>
      </c>
    </row>
    <row r="12">
      <c r="A12" t="str">
        <v>13- Incapacidad por enfermedad general al 100%- Ingreso</v>
      </c>
      <c r="B12">
        <v>13</v>
      </c>
      <c r="C12" t="str">
        <v>Ingreso</v>
      </c>
      <c r="D12" t="str">
        <v>Dias</v>
      </c>
    </row>
    <row r="13">
      <c r="A13" t="str">
        <v>14- Incapacidad por enfermedad general al 50%- Ingreso</v>
      </c>
      <c r="B13">
        <v>14</v>
      </c>
      <c r="C13" t="str">
        <v>Ingreso</v>
      </c>
      <c r="D13" t="str">
        <v>Dias</v>
      </c>
    </row>
    <row r="14">
      <c r="A14" t="str">
        <v>15- Incapacidad por enfermedad general al 66%- Ingreso</v>
      </c>
      <c r="B14">
        <v>15</v>
      </c>
      <c r="C14" t="str">
        <v>Ingreso</v>
      </c>
      <c r="D14" t="str">
        <v>Dias</v>
      </c>
    </row>
    <row r="15">
      <c r="A15" t="str">
        <v>16- Incapacidad por enfermedad profesional- Ingreso</v>
      </c>
      <c r="B15">
        <v>16</v>
      </c>
      <c r="C15" t="str">
        <v>Ingreso</v>
      </c>
      <c r="D15" t="str">
        <v>Dias</v>
      </c>
    </row>
    <row r="16">
      <c r="A16" t="str">
        <v>19- Intereses de cesantías- Ingreso</v>
      </c>
      <c r="B16">
        <v>19</v>
      </c>
      <c r="C16" t="str">
        <v>Ingreso</v>
      </c>
      <c r="D16" t="str">
        <v>Valor $</v>
      </c>
    </row>
    <row r="17">
      <c r="A17" t="str">
        <v>20- Licencia maternidad- Ingreso</v>
      </c>
      <c r="B17">
        <v>20</v>
      </c>
      <c r="C17" t="str">
        <v>Ingreso</v>
      </c>
      <c r="D17" t="str">
        <v>Dias</v>
      </c>
    </row>
    <row r="18">
      <c r="A18" t="str">
        <v>20- Licencia maternidad (LPF) - Ingreso</v>
      </c>
      <c r="B18">
        <v>20</v>
      </c>
      <c r="C18" t="str">
        <v>Ingreso</v>
      </c>
      <c r="D18" t="str">
        <v>Dias</v>
      </c>
    </row>
    <row r="19">
      <c r="A19" t="str">
        <v>21- Licencia por luto- Ingreso</v>
      </c>
      <c r="B19">
        <v>21</v>
      </c>
      <c r="C19" t="str">
        <v>Ingreso</v>
      </c>
      <c r="D19" t="str">
        <v>Dias</v>
      </c>
    </row>
    <row r="20">
      <c r="A20" t="str">
        <v>22- Licencia remunerada- Ingreso</v>
      </c>
      <c r="B20">
        <v>22</v>
      </c>
      <c r="C20" t="str">
        <v>Ingreso</v>
      </c>
      <c r="D20" t="str">
        <v>Dias</v>
      </c>
    </row>
    <row r="21">
      <c r="A21" t="str">
        <v>23- Prima de servicios- Ingreso</v>
      </c>
      <c r="B21">
        <v>23</v>
      </c>
      <c r="C21" t="str">
        <v>Ingreso</v>
      </c>
      <c r="D21" t="str">
        <v>Valor $</v>
      </c>
    </row>
    <row r="22">
      <c r="A22" t="str">
        <v>25- Recargo dominical o festivo- Ingreso</v>
      </c>
      <c r="B22">
        <v>25</v>
      </c>
      <c r="C22" t="str">
        <v>Ingreso</v>
      </c>
      <c r="D22" t="str">
        <v>Horas</v>
      </c>
    </row>
    <row r="23">
      <c r="A23" t="str">
        <v>26- Recargo nocturno- Ingreso</v>
      </c>
      <c r="B23">
        <v>26</v>
      </c>
      <c r="C23" t="str">
        <v>Ingreso</v>
      </c>
      <c r="D23" t="str">
        <v>Horas</v>
      </c>
    </row>
    <row r="24">
      <c r="A24" t="str">
        <v>27- Recargo nocturno dominical o festivo ordinario- Ingreso</v>
      </c>
      <c r="B24">
        <v>27</v>
      </c>
      <c r="C24" t="str">
        <v>Ingreso</v>
      </c>
      <c r="D24" t="str">
        <v>Horas</v>
      </c>
    </row>
    <row r="25">
      <c r="A25" t="str">
        <v>30- Vacaciones compensadas- Ingreso</v>
      </c>
      <c r="B25">
        <v>30</v>
      </c>
      <c r="C25" t="str">
        <v>Ingreso</v>
      </c>
      <c r="D25" t="str">
        <v>Dias</v>
      </c>
    </row>
    <row r="26">
      <c r="A26" t="str">
        <v>31- Vacaciones disfrutadas- Ingreso</v>
      </c>
      <c r="B26">
        <v>31</v>
      </c>
      <c r="C26" t="str">
        <v>Ingreso</v>
      </c>
      <c r="D26" t="str">
        <v>Dias</v>
      </c>
    </row>
    <row r="27">
      <c r="A27" t="str">
        <v>34- Descuento prima- Deducción</v>
      </c>
      <c r="B27">
        <v>34</v>
      </c>
      <c r="C27" t="str">
        <v>Deducción</v>
      </c>
      <c r="D27" t="str">
        <v>Valor $</v>
      </c>
    </row>
    <row r="28">
      <c r="A28" t="str">
        <v>35- Fondo de pensión- Deducción</v>
      </c>
      <c r="B28">
        <v>35</v>
      </c>
      <c r="C28" t="str">
        <v>Deducción</v>
      </c>
      <c r="D28" t="str">
        <v>Valor $</v>
      </c>
    </row>
    <row r="29">
      <c r="A29" t="str">
        <v>36- Fondo de salud- Deducción</v>
      </c>
      <c r="B29">
        <v>36</v>
      </c>
      <c r="C29" t="str">
        <v>Deducción</v>
      </c>
      <c r="D29" t="str">
        <v>Valor $</v>
      </c>
    </row>
    <row r="30">
      <c r="A30" t="str">
        <v>37- Fondo de solidaridad pensional- Deducción</v>
      </c>
      <c r="B30">
        <v>37</v>
      </c>
      <c r="C30" t="str">
        <v>Deducción</v>
      </c>
      <c r="D30" t="str">
        <v>Valor $</v>
      </c>
    </row>
    <row r="31">
      <c r="A31" t="str">
        <v>38- Licencia no remunerada- Deducción</v>
      </c>
      <c r="B31">
        <v>38</v>
      </c>
      <c r="C31" t="str">
        <v>Deducción</v>
      </c>
      <c r="D31" t="str">
        <v>Dias</v>
      </c>
    </row>
    <row r="32">
      <c r="A32" t="str">
        <v>39- Retefuente- Deducción</v>
      </c>
      <c r="B32">
        <v>39</v>
      </c>
      <c r="C32" t="str">
        <v>Deducción</v>
      </c>
      <c r="D32" t="str">
        <v>Valor $</v>
      </c>
    </row>
    <row r="33">
      <c r="A33" t="str">
        <v>41- Retefuente prima de servicios- Deducción</v>
      </c>
      <c r="B33">
        <v>41</v>
      </c>
      <c r="C33" t="str">
        <v>Deducción</v>
      </c>
      <c r="D33" t="str">
        <v>Valor $</v>
      </c>
    </row>
    <row r="34">
      <c r="A34" t="str">
        <v>42- Ahorros- Ingreso</v>
      </c>
      <c r="B34">
        <v>42</v>
      </c>
      <c r="C34" t="str">
        <v>Ingreso</v>
      </c>
      <c r="D34" t="str">
        <v>Valor $</v>
      </c>
    </row>
    <row r="35">
      <c r="A35" t="str">
        <v>43- Bonificaciones ocasionales- Ingreso</v>
      </c>
      <c r="B35">
        <v>43</v>
      </c>
      <c r="C35" t="str">
        <v>Ingreso</v>
      </c>
      <c r="D35" t="str">
        <v>Valor $</v>
      </c>
    </row>
    <row r="36">
      <c r="A36" t="str">
        <v>44- Comisiones- Ingreso</v>
      </c>
      <c r="B36">
        <v>44</v>
      </c>
      <c r="C36" t="str">
        <v>Ingreso</v>
      </c>
      <c r="D36" t="str">
        <v>Valor $</v>
      </c>
    </row>
    <row r="37">
      <c r="A37" t="str">
        <v>45- Aporte voluntario AFC- Deducción</v>
      </c>
      <c r="B37">
        <v>45</v>
      </c>
      <c r="C37" t="str">
        <v>Deducción</v>
      </c>
      <c r="D37" t="str">
        <v>Valor $</v>
      </c>
    </row>
    <row r="38">
      <c r="A38" t="str">
        <v>46- Aporte voluntario de pensión- Deducción</v>
      </c>
      <c r="B38">
        <v>46</v>
      </c>
      <c r="C38" t="str">
        <v>Deducción</v>
      </c>
      <c r="D38" t="str">
        <v>Valor $</v>
      </c>
    </row>
    <row r="39">
      <c r="A39" t="str">
        <v>47- Embargos- Deducción</v>
      </c>
      <c r="B39">
        <v>47</v>
      </c>
      <c r="C39" t="str">
        <v>Deducción</v>
      </c>
      <c r="D39" t="str">
        <v>Valor $</v>
      </c>
    </row>
    <row r="40">
      <c r="A40" t="str">
        <v>48- Prestamos- Deducción</v>
      </c>
      <c r="B40">
        <v>48</v>
      </c>
      <c r="C40" t="str">
        <v>Deducción</v>
      </c>
      <c r="D40" t="str">
        <v>Valor $</v>
      </c>
    </row>
    <row r="41">
      <c r="A41" t="str">
        <f>IF(ISBLANK('Conceptos creados por usuario'!A3),"",CONCATENATE('Conceptos creados por usuario'!A3,"-",'Conceptos creados por usuario'!B3,"-",'Conceptos creados por usuario'!C3))</f>
        <v>49-Compra de producto-Deducción</v>
      </c>
      <c r="B41">
        <f>'Conceptos creados por usuario'!A3</f>
        <v>49</v>
      </c>
      <c r="C41" t="str">
        <f>'Conceptos creados por usuario'!C3</f>
        <v>Deducción</v>
      </c>
      <c r="D41" t="str">
        <v>Valor $</v>
      </c>
    </row>
    <row r="42">
      <c r="A42" t="str">
        <f>IF(ISBLANK('Conceptos creados por usuario'!A4),"",CONCATENATE('Conceptos creados por usuario'!A4,"-",'Conceptos creados por usuario'!B4,"-",'Conceptos creados por usuario'!C4))</f>
        <v/>
      </c>
      <c r="B42">
        <f>'Conceptos creados por usuario'!A4</f>
        <v>0</v>
      </c>
      <c r="C42">
        <f>'Conceptos creados por usuario'!C4</f>
        <v>0</v>
      </c>
      <c r="D42" t="str">
        <v>Valor $</v>
      </c>
    </row>
    <row r="43">
      <c r="A43" t="str">
        <f>IF(ISBLANK('Conceptos creados por usuario'!A5),"",CONCATENATE('Conceptos creados por usuario'!A5,"-",'Conceptos creados por usuario'!B5,"-",'Conceptos creados por usuario'!C5))</f>
        <v/>
      </c>
      <c r="B43">
        <f>'Conceptos creados por usuario'!A5</f>
        <v>0</v>
      </c>
      <c r="C43">
        <f>'Conceptos creados por usuario'!C5</f>
        <v>0</v>
      </c>
      <c r="D43" t="str">
        <v>Valor $</v>
      </c>
    </row>
    <row r="44">
      <c r="A44" t="str">
        <f>IF(ISBLANK('Conceptos creados por usuario'!A6),"",CONCATENATE('Conceptos creados por usuario'!A6,"-",'Conceptos creados por usuario'!B6,"-",'Conceptos creados por usuario'!C6))</f>
        <v/>
      </c>
      <c r="B44">
        <f>'Conceptos creados por usuario'!A6</f>
        <v>0</v>
      </c>
      <c r="C44">
        <f>'Conceptos creados por usuario'!C6</f>
        <v>0</v>
      </c>
      <c r="D44" t="str">
        <v>Valor $</v>
      </c>
    </row>
    <row r="45">
      <c r="A45" t="str">
        <f>IF(ISBLANK('Conceptos creados por usuario'!A7),"",CONCATENATE('Conceptos creados por usuario'!A7,"-",'Conceptos creados por usuario'!B7,"-",'Conceptos creados por usuario'!C7))</f>
        <v/>
      </c>
      <c r="B45">
        <f>'Conceptos creados por usuario'!A7</f>
        <v>0</v>
      </c>
      <c r="C45">
        <f>'Conceptos creados por usuario'!C7</f>
        <v>0</v>
      </c>
      <c r="D45" t="str">
        <v>Valor $</v>
      </c>
    </row>
    <row r="46">
      <c r="A46" t="str">
        <f>IF(ISBLANK('Conceptos creados por usuario'!A8),"",CONCATENATE('Conceptos creados por usuario'!A8,"-",'Conceptos creados por usuario'!B8,"-",'Conceptos creados por usuario'!C8))</f>
        <v/>
      </c>
      <c r="B46">
        <f>'Conceptos creados por usuario'!A8</f>
        <v>0</v>
      </c>
      <c r="C46">
        <f>'Conceptos creados por usuario'!C8</f>
        <v>0</v>
      </c>
      <c r="D46" t="str">
        <v>Valor $</v>
      </c>
    </row>
    <row r="47">
      <c r="A47" t="str">
        <f>IF(ISBLANK('Conceptos creados por usuario'!A9),"",CONCATENATE('Conceptos creados por usuario'!A9,"-",'Conceptos creados por usuario'!B9,"-",'Conceptos creados por usuario'!C9))</f>
        <v/>
      </c>
      <c r="B47">
        <f>'Conceptos creados por usuario'!A9</f>
        <v>0</v>
      </c>
      <c r="C47">
        <f>'Conceptos creados por usuario'!C9</f>
        <v>0</v>
      </c>
      <c r="D47" t="str">
        <v>Valor $</v>
      </c>
    </row>
    <row r="48">
      <c r="A48" t="str">
        <f>IF(ISBLANK('Conceptos creados por usuario'!A10),"",CONCATENATE('Conceptos creados por usuario'!A10,"-",'Conceptos creados por usuario'!B10,"-",'Conceptos creados por usuario'!C10))</f>
        <v/>
      </c>
      <c r="B48">
        <f>'Conceptos creados por usuario'!A10</f>
        <v>0</v>
      </c>
      <c r="C48">
        <f>'Conceptos creados por usuario'!C10</f>
        <v>0</v>
      </c>
      <c r="D48" t="str">
        <v>Valor $</v>
      </c>
    </row>
    <row r="49">
      <c r="A49" t="str">
        <f>IF(ISBLANK('Conceptos creados por usuario'!A11),"",CONCATENATE('Conceptos creados por usuario'!A11,"-",'Conceptos creados por usuario'!B11,"-",'Conceptos creados por usuario'!C11))</f>
        <v/>
      </c>
      <c r="B49">
        <f>'Conceptos creados por usuario'!A11</f>
        <v>0</v>
      </c>
      <c r="C49">
        <f>'Conceptos creados por usuario'!C11</f>
        <v>0</v>
      </c>
      <c r="D49" t="str">
        <v>Valor $</v>
      </c>
    </row>
    <row r="50">
      <c r="A50" t="str">
        <f>IF(ISBLANK('Conceptos creados por usuario'!A12),"",CONCATENATE('Conceptos creados por usuario'!A12,"-",'Conceptos creados por usuario'!B12,"-",'Conceptos creados por usuario'!C12))</f>
        <v/>
      </c>
      <c r="B50">
        <f>'Conceptos creados por usuario'!A12</f>
        <v>0</v>
      </c>
      <c r="C50">
        <f>'Conceptos creados por usuario'!C12</f>
        <v>0</v>
      </c>
      <c r="D50" t="str">
        <v>Valor $</v>
      </c>
    </row>
    <row r="51">
      <c r="A51" t="str">
        <f>IF(ISBLANK('Conceptos creados por usuario'!A13),"",CONCATENATE('Conceptos creados por usuario'!A13,"-",'Conceptos creados por usuario'!B13,"-",'Conceptos creados por usuario'!C13))</f>
        <v/>
      </c>
      <c r="B51">
        <f>'Conceptos creados por usuario'!A13</f>
        <v>0</v>
      </c>
      <c r="C51">
        <f>'Conceptos creados por usuario'!C13</f>
        <v>0</v>
      </c>
      <c r="D51" t="str">
        <v>Valor $</v>
      </c>
    </row>
    <row r="52">
      <c r="A52" t="str">
        <f>IF(ISBLANK('Conceptos creados por usuario'!A14),"",CONCATENATE('Conceptos creados por usuario'!A14,"-",'Conceptos creados por usuario'!B14,"-",'Conceptos creados por usuario'!C14))</f>
        <v/>
      </c>
      <c r="B52">
        <f>'Conceptos creados por usuario'!A14</f>
        <v>0</v>
      </c>
      <c r="C52">
        <f>'Conceptos creados por usuario'!C14</f>
        <v>0</v>
      </c>
      <c r="D52" t="str">
        <v>Valor $</v>
      </c>
    </row>
    <row r="53">
      <c r="A53" t="str">
        <f>IF(ISBLANK('Conceptos creados por usuario'!A15),"",CONCATENATE('Conceptos creados por usuario'!A15,"-",'Conceptos creados por usuario'!B15,"-",'Conceptos creados por usuario'!C15))</f>
        <v/>
      </c>
      <c r="B53">
        <f>'Conceptos creados por usuario'!A15</f>
        <v>0</v>
      </c>
      <c r="C53">
        <f>'Conceptos creados por usuario'!C15</f>
        <v>0</v>
      </c>
      <c r="D53" t="str">
        <v>Valor $</v>
      </c>
    </row>
    <row r="54">
      <c r="A54" t="str">
        <f>IF(ISBLANK('Conceptos creados por usuario'!A16),"",CONCATENATE('Conceptos creados por usuario'!A16,"-",'Conceptos creados por usuario'!B16,"-",'Conceptos creados por usuario'!C16))</f>
        <v/>
      </c>
      <c r="B54">
        <f>'Conceptos creados por usuario'!A16</f>
        <v>0</v>
      </c>
      <c r="C54">
        <f>'Conceptos creados por usuario'!C16</f>
        <v>0</v>
      </c>
      <c r="D54" t="str">
        <v>Valor $</v>
      </c>
    </row>
    <row r="55">
      <c r="A55" t="str">
        <f>IF(ISBLANK('Conceptos creados por usuario'!A17),"",CONCATENATE('Conceptos creados por usuario'!A17,"-",'Conceptos creados por usuario'!B17,"-",'Conceptos creados por usuario'!C17))</f>
        <v/>
      </c>
      <c r="B55">
        <f>'Conceptos creados por usuario'!A17</f>
        <v>0</v>
      </c>
      <c r="C55">
        <f>'Conceptos creados por usuario'!C17</f>
        <v>0</v>
      </c>
      <c r="D55" t="str">
        <v>Valor $</v>
      </c>
    </row>
    <row r="56">
      <c r="A56" t="str">
        <f>IF(ISBLANK('Conceptos creados por usuario'!A18),"",CONCATENATE('Conceptos creados por usuario'!A18,"-",'Conceptos creados por usuario'!B18,"-",'Conceptos creados por usuario'!C18))</f>
        <v/>
      </c>
      <c r="B56">
        <f>'Conceptos creados por usuario'!A18</f>
        <v>0</v>
      </c>
      <c r="C56">
        <f>'Conceptos creados por usuario'!C18</f>
        <v>0</v>
      </c>
      <c r="D56" t="str">
        <v>Valor $</v>
      </c>
    </row>
    <row r="57">
      <c r="A57" t="str">
        <f>IF(ISBLANK('Conceptos creados por usuario'!A19),"",CONCATENATE('Conceptos creados por usuario'!A19,"-",'Conceptos creados por usuario'!B19,"-",'Conceptos creados por usuario'!C19))</f>
        <v/>
      </c>
      <c r="B57">
        <f>'Conceptos creados por usuario'!A19</f>
        <v>0</v>
      </c>
      <c r="C57">
        <f>'Conceptos creados por usuario'!C19</f>
        <v>0</v>
      </c>
      <c r="D57" t="str">
        <v>Valor $</v>
      </c>
    </row>
    <row r="58">
      <c r="A58" t="str">
        <f>IF(ISBLANK('Conceptos creados por usuario'!A20),"",CONCATENATE('Conceptos creados por usuario'!A20,"-",'Conceptos creados por usuario'!B20,"-",'Conceptos creados por usuario'!C20))</f>
        <v/>
      </c>
      <c r="B58">
        <f>'Conceptos creados por usuario'!A20</f>
        <v>0</v>
      </c>
      <c r="C58">
        <f>'Conceptos creados por usuario'!C20</f>
        <v>0</v>
      </c>
      <c r="D58" t="str">
        <v>Valor $</v>
      </c>
    </row>
    <row r="59">
      <c r="A59" t="str">
        <f>IF(ISBLANK('Conceptos creados por usuario'!A21),"",CONCATENATE('Conceptos creados por usuario'!A21,"-",'Conceptos creados por usuario'!B21,"-",'Conceptos creados por usuario'!C21))</f>
        <v/>
      </c>
      <c r="B59">
        <f>'Conceptos creados por usuario'!A21</f>
        <v>0</v>
      </c>
      <c r="C59">
        <f>'Conceptos creados por usuario'!C21</f>
        <v>0</v>
      </c>
      <c r="D59" t="str">
        <v>Valor $</v>
      </c>
    </row>
    <row r="60">
      <c r="A60" t="str">
        <f>IF(ISBLANK('Conceptos creados por usuario'!A22),"",CONCATENATE('Conceptos creados por usuario'!A22,"-",'Conceptos creados por usuario'!B22,"-",'Conceptos creados por usuario'!C22))</f>
        <v/>
      </c>
      <c r="B60">
        <f>'Conceptos creados por usuario'!A22</f>
        <v>0</v>
      </c>
      <c r="C60">
        <f>'Conceptos creados por usuario'!C22</f>
        <v>0</v>
      </c>
      <c r="D60" t="str">
        <v>Valor $</v>
      </c>
    </row>
    <row r="61">
      <c r="A61" t="str">
        <f>IF(ISBLANK('Conceptos creados por usuario'!A23),"",CONCATENATE('Conceptos creados por usuario'!A23,"-",'Conceptos creados por usuario'!B23,"-",'Conceptos creados por usuario'!C23))</f>
        <v/>
      </c>
      <c r="B61">
        <f>'Conceptos creados por usuario'!A23</f>
        <v>0</v>
      </c>
      <c r="C61">
        <f>'Conceptos creados por usuario'!C23</f>
        <v>0</v>
      </c>
      <c r="D61" t="str">
        <v>Valor $</v>
      </c>
    </row>
    <row r="62">
      <c r="A62" t="str">
        <f>IF(ISBLANK('Conceptos creados por usuario'!A24),"",CONCATENATE('Conceptos creados por usuario'!A24,"-",'Conceptos creados por usuario'!B24,"-",'Conceptos creados por usuario'!C24))</f>
        <v/>
      </c>
      <c r="B62">
        <f>'Conceptos creados por usuario'!A24</f>
        <v>0</v>
      </c>
      <c r="C62">
        <f>'Conceptos creados por usuario'!C24</f>
        <v>0</v>
      </c>
      <c r="D62" t="str">
        <v>Valor $</v>
      </c>
    </row>
    <row r="63">
      <c r="A63" t="str">
        <f>IF(ISBLANK('Conceptos creados por usuario'!A25),"",CONCATENATE('Conceptos creados por usuario'!A25,"-",'Conceptos creados por usuario'!B25,"-",'Conceptos creados por usuario'!C25))</f>
        <v/>
      </c>
      <c r="B63">
        <f>'Conceptos creados por usuario'!A25</f>
        <v>0</v>
      </c>
      <c r="C63">
        <f>'Conceptos creados por usuario'!C25</f>
        <v>0</v>
      </c>
      <c r="D63" t="str">
        <v>Valor $</v>
      </c>
    </row>
    <row r="64">
      <c r="A64" t="str">
        <f>IF(ISBLANK('Conceptos creados por usuario'!A26),"",CONCATENATE('Conceptos creados por usuario'!A26,"-",'Conceptos creados por usuario'!B26,"-",'Conceptos creados por usuario'!C26))</f>
        <v/>
      </c>
      <c r="B64">
        <f>'Conceptos creados por usuario'!A26</f>
        <v>0</v>
      </c>
      <c r="C64">
        <f>'Conceptos creados por usuario'!C26</f>
        <v>0</v>
      </c>
      <c r="D64" t="str">
        <v>Valor $</v>
      </c>
    </row>
    <row r="65">
      <c r="A65" t="str">
        <f>IF(ISBLANK('Conceptos creados por usuario'!A27),"",CONCATENATE('Conceptos creados por usuario'!A27,"-",'Conceptos creados por usuario'!B27,"-",'Conceptos creados por usuario'!C27))</f>
        <v/>
      </c>
      <c r="B65">
        <f>'Conceptos creados por usuario'!A27</f>
        <v>0</v>
      </c>
      <c r="C65">
        <f>'Conceptos creados por usuario'!C27</f>
        <v>0</v>
      </c>
      <c r="D65" t="str">
        <v>Valor $</v>
      </c>
    </row>
    <row r="66">
      <c r="A66" t="str">
        <f>IF(ISBLANK('Conceptos creados por usuario'!A28),"",CONCATENATE('Conceptos creados por usuario'!A28,"-",'Conceptos creados por usuario'!B28,"-",'Conceptos creados por usuario'!C28))</f>
        <v/>
      </c>
      <c r="B66">
        <f>'Conceptos creados por usuario'!A28</f>
        <v>0</v>
      </c>
      <c r="C66">
        <f>'Conceptos creados por usuario'!C28</f>
        <v>0</v>
      </c>
      <c r="D66" t="str">
        <v>Valor $</v>
      </c>
    </row>
    <row r="67">
      <c r="A67" t="str">
        <f>IF(ISBLANK('Conceptos creados por usuario'!A29),"",CONCATENATE('Conceptos creados por usuario'!A29,"-",'Conceptos creados por usuario'!B29,"-",'Conceptos creados por usuario'!C29))</f>
        <v/>
      </c>
      <c r="B67">
        <f>'Conceptos creados por usuario'!A29</f>
        <v>0</v>
      </c>
      <c r="C67">
        <f>'Conceptos creados por usuario'!C29</f>
        <v>0</v>
      </c>
      <c r="D67" t="str">
        <v>Valor $</v>
      </c>
    </row>
    <row r="68">
      <c r="A68" t="str">
        <f>IF(ISBLANK('Conceptos creados por usuario'!A30),"",CONCATENATE('Conceptos creados por usuario'!A30,"-",'Conceptos creados por usuario'!B30,"-",'Conceptos creados por usuario'!C30))</f>
        <v/>
      </c>
      <c r="B68">
        <f>'Conceptos creados por usuario'!A30</f>
        <v>0</v>
      </c>
      <c r="C68">
        <f>'Conceptos creados por usuario'!C30</f>
        <v>0</v>
      </c>
      <c r="D68" t="str">
        <v>Valor $</v>
      </c>
    </row>
    <row r="69">
      <c r="A69" t="str">
        <f>IF(ISBLANK('Conceptos creados por usuario'!A31),"",CONCATENATE('Conceptos creados por usuario'!A31,"-",'Conceptos creados por usuario'!B31,"-",'Conceptos creados por usuario'!C31))</f>
        <v/>
      </c>
      <c r="B69">
        <f>'Conceptos creados por usuario'!A31</f>
        <v>0</v>
      </c>
      <c r="C69">
        <f>'Conceptos creados por usuario'!C31</f>
        <v>0</v>
      </c>
      <c r="D69" t="str">
        <v>Valor $</v>
      </c>
    </row>
    <row r="70">
      <c r="A70" t="str">
        <f>IF(ISBLANK('Conceptos creados por usuario'!A32),"",CONCATENATE('Conceptos creados por usuario'!A32,"-",'Conceptos creados por usuario'!B32,"-",'Conceptos creados por usuario'!C32))</f>
        <v/>
      </c>
      <c r="B70">
        <f>'Conceptos creados por usuario'!A32</f>
        <v>0</v>
      </c>
      <c r="C70">
        <f>'Conceptos creados por usuario'!C32</f>
        <v>0</v>
      </c>
      <c r="D70" t="str">
        <v>Valor $</v>
      </c>
    </row>
    <row r="71">
      <c r="A71" t="str">
        <f>IF(ISBLANK('Conceptos creados por usuario'!A33),"",CONCATENATE('Conceptos creados por usuario'!A33,"-",'Conceptos creados por usuario'!B33,"-",'Conceptos creados por usuario'!C33))</f>
        <v/>
      </c>
      <c r="B71">
        <f>'Conceptos creados por usuario'!A33</f>
        <v>0</v>
      </c>
      <c r="C71">
        <f>'Conceptos creados por usuario'!C33</f>
        <v>0</v>
      </c>
      <c r="D71" t="str">
        <v>Valor $</v>
      </c>
    </row>
    <row r="72">
      <c r="A72" t="str">
        <f>IF(ISBLANK('Conceptos creados por usuario'!A34),"",CONCATENATE('Conceptos creados por usuario'!A34,"-",'Conceptos creados por usuario'!B34,"-",'Conceptos creados por usuario'!C34))</f>
        <v/>
      </c>
      <c r="B72">
        <f>'Conceptos creados por usuario'!A34</f>
        <v>0</v>
      </c>
      <c r="C72">
        <f>'Conceptos creados por usuario'!C34</f>
        <v>0</v>
      </c>
      <c r="D72" t="str">
        <v>Valor $</v>
      </c>
    </row>
    <row r="73">
      <c r="A73" t="str">
        <f>IF(ISBLANK('Conceptos creados por usuario'!A35),"",CONCATENATE('Conceptos creados por usuario'!A35,"-",'Conceptos creados por usuario'!B35,"-",'Conceptos creados por usuario'!C35))</f>
        <v/>
      </c>
      <c r="B73">
        <f>'Conceptos creados por usuario'!A35</f>
        <v>0</v>
      </c>
      <c r="C73">
        <f>'Conceptos creados por usuario'!C35</f>
        <v>0</v>
      </c>
      <c r="D73" t="str">
        <v>Valor $</v>
      </c>
    </row>
    <row r="74">
      <c r="A74" t="str">
        <f>IF(ISBLANK('Conceptos creados por usuario'!A36),"",CONCATENATE('Conceptos creados por usuario'!A36,"-",'Conceptos creados por usuario'!B36,"-",'Conceptos creados por usuario'!C36))</f>
        <v/>
      </c>
      <c r="B74">
        <f>'Conceptos creados por usuario'!A36</f>
        <v>0</v>
      </c>
      <c r="C74">
        <f>'Conceptos creados por usuario'!C36</f>
        <v>0</v>
      </c>
      <c r="D74" t="str">
        <v>Valor $</v>
      </c>
    </row>
    <row r="75">
      <c r="A75" t="str">
        <f>IF(ISBLANK('Conceptos creados por usuario'!A37),"",CONCATENATE('Conceptos creados por usuario'!A37,"-",'Conceptos creados por usuario'!B37,"-",'Conceptos creados por usuario'!C37))</f>
        <v/>
      </c>
      <c r="B75">
        <f>'Conceptos creados por usuario'!A37</f>
        <v>0</v>
      </c>
      <c r="C75">
        <f>'Conceptos creados por usuario'!C37</f>
        <v>0</v>
      </c>
      <c r="D75" t="str">
        <v>Valor $</v>
      </c>
    </row>
    <row r="76">
      <c r="A76" t="str">
        <f>IF(ISBLANK('Conceptos creados por usuario'!A38),"",CONCATENATE('Conceptos creados por usuario'!A38,"-",'Conceptos creados por usuario'!B38,"-",'Conceptos creados por usuario'!C38))</f>
        <v/>
      </c>
      <c r="B76">
        <f>'Conceptos creados por usuario'!A38</f>
        <v>0</v>
      </c>
      <c r="C76">
        <f>'Conceptos creados por usuario'!C38</f>
        <v>0</v>
      </c>
      <c r="D76" t="str">
        <v>Valor $</v>
      </c>
    </row>
    <row r="77">
      <c r="A77" t="str">
        <f>IF(ISBLANK('Conceptos creados por usuario'!A39),"",CONCATENATE('Conceptos creados por usuario'!A39,"-",'Conceptos creados por usuario'!B39,"-",'Conceptos creados por usuario'!C39))</f>
        <v/>
      </c>
      <c r="B77">
        <f>'Conceptos creados por usuario'!A39</f>
        <v>0</v>
      </c>
      <c r="C77">
        <f>'Conceptos creados por usuario'!C39</f>
        <v>0</v>
      </c>
      <c r="D77" t="str">
        <v>Valor $</v>
      </c>
    </row>
    <row r="78">
      <c r="A78" t="str">
        <f>IF(ISBLANK('Conceptos creados por usuario'!A40),"",CONCATENATE('Conceptos creados por usuario'!A40,"-",'Conceptos creados por usuario'!B40,"-",'Conceptos creados por usuario'!C40))</f>
        <v/>
      </c>
      <c r="B78">
        <f>'Conceptos creados por usuario'!A40</f>
        <v>0</v>
      </c>
      <c r="C78">
        <f>'Conceptos creados por usuario'!C40</f>
        <v>0</v>
      </c>
      <c r="D78" t="str">
        <v>Valor $</v>
      </c>
    </row>
    <row r="79">
      <c r="A79" t="str">
        <f>IF(ISBLANK('Conceptos creados por usuario'!A41),"",CONCATENATE('Conceptos creados por usuario'!A41,"-",'Conceptos creados por usuario'!B41,"-",'Conceptos creados por usuario'!C41))</f>
        <v/>
      </c>
      <c r="B79">
        <f>'Conceptos creados por usuario'!A41</f>
        <v>0</v>
      </c>
      <c r="C79">
        <f>'Conceptos creados por usuario'!C41</f>
        <v>0</v>
      </c>
      <c r="D79" t="str">
        <v>Valor $</v>
      </c>
    </row>
    <row r="80">
      <c r="A80" t="str">
        <f>IF(ISBLANK('Conceptos creados por usuario'!A42),"",CONCATENATE('Conceptos creados por usuario'!A42,"-",'Conceptos creados por usuario'!B42,"-",'Conceptos creados por usuario'!C42))</f>
        <v/>
      </c>
      <c r="B80">
        <f>'Conceptos creados por usuario'!A42</f>
        <v>0</v>
      </c>
      <c r="C80">
        <f>'Conceptos creados por usuario'!C42</f>
        <v>0</v>
      </c>
      <c r="D80" t="str">
        <v>Valor $</v>
      </c>
    </row>
    <row r="81">
      <c r="A81" t="str">
        <f>IF(ISBLANK('Conceptos creados por usuario'!A43),"",CONCATENATE('Conceptos creados por usuario'!A43,"-",'Conceptos creados por usuario'!B43,"-",'Conceptos creados por usuario'!C43))</f>
        <v/>
      </c>
      <c r="B81">
        <f>'Conceptos creados por usuario'!A43</f>
        <v>0</v>
      </c>
      <c r="C81">
        <f>'Conceptos creados por usuario'!C43</f>
        <v>0</v>
      </c>
      <c r="D81" t="str">
        <v>Valor $</v>
      </c>
    </row>
    <row r="82">
      <c r="A82" t="str">
        <f>IF(ISBLANK('Conceptos creados por usuario'!A44),"",CONCATENATE('Conceptos creados por usuario'!A44,"-",'Conceptos creados por usuario'!B44,"-",'Conceptos creados por usuario'!C44))</f>
        <v/>
      </c>
      <c r="B82">
        <f>'Conceptos creados por usuario'!A44</f>
        <v>0</v>
      </c>
      <c r="C82">
        <f>'Conceptos creados por usuario'!C44</f>
        <v>0</v>
      </c>
      <c r="D82" t="str">
        <v>Valor $</v>
      </c>
    </row>
    <row r="83">
      <c r="A83" t="str">
        <f>IF(ISBLANK('Conceptos creados por usuario'!A45),"",CONCATENATE('Conceptos creados por usuario'!A45,"-",'Conceptos creados por usuario'!B45,"-",'Conceptos creados por usuario'!C45))</f>
        <v/>
      </c>
      <c r="B83">
        <f>'Conceptos creados por usuario'!A45</f>
        <v>0</v>
      </c>
      <c r="C83">
        <f>'Conceptos creados por usuario'!C45</f>
        <v>0</v>
      </c>
      <c r="D83" t="str">
        <v>Valor $</v>
      </c>
    </row>
    <row r="84">
      <c r="A84" t="str">
        <f>IF(ISBLANK('Conceptos creados por usuario'!A46),"",CONCATENATE('Conceptos creados por usuario'!A46,"-",'Conceptos creados por usuario'!B46,"-",'Conceptos creados por usuario'!C46))</f>
        <v/>
      </c>
      <c r="B84">
        <f>'Conceptos creados por usuario'!A46</f>
        <v>0</v>
      </c>
      <c r="C84">
        <f>'Conceptos creados por usuario'!C46</f>
        <v>0</v>
      </c>
      <c r="D84" t="str">
        <v>Valor $</v>
      </c>
    </row>
    <row r="85">
      <c r="A85" t="str">
        <f>IF(ISBLANK('Conceptos creados por usuario'!A47),"",CONCATENATE('Conceptos creados por usuario'!A47,"-",'Conceptos creados por usuario'!B47,"-",'Conceptos creados por usuario'!C47))</f>
        <v/>
      </c>
      <c r="B85">
        <f>'Conceptos creados por usuario'!A47</f>
        <v>0</v>
      </c>
      <c r="C85">
        <f>'Conceptos creados por usuario'!C47</f>
        <v>0</v>
      </c>
      <c r="D85" t="str">
        <v>Valor $</v>
      </c>
    </row>
    <row r="86">
      <c r="A86" t="str">
        <f>IF(ISBLANK('Conceptos creados por usuario'!A48),"",CONCATENATE('Conceptos creados por usuario'!A48,"-",'Conceptos creados por usuario'!B48,"-",'Conceptos creados por usuario'!C48))</f>
        <v/>
      </c>
      <c r="B86">
        <f>'Conceptos creados por usuario'!A48</f>
        <v>0</v>
      </c>
      <c r="C86">
        <f>'Conceptos creados por usuario'!C48</f>
        <v>0</v>
      </c>
      <c r="D86" t="str">
        <v>Valor $</v>
      </c>
    </row>
    <row r="87">
      <c r="A87" t="str">
        <f>IF(ISBLANK('Conceptos creados por usuario'!A49),"",CONCATENATE('Conceptos creados por usuario'!A49,"-",'Conceptos creados por usuario'!B49,"-",'Conceptos creados por usuario'!C49))</f>
        <v/>
      </c>
      <c r="B87">
        <f>'Conceptos creados por usuario'!A49</f>
        <v>0</v>
      </c>
      <c r="C87">
        <f>'Conceptos creados por usuario'!C49</f>
        <v>0</v>
      </c>
      <c r="D87" t="str">
        <v>Valor $</v>
      </c>
    </row>
    <row r="88">
      <c r="A88" t="str">
        <f>IF(ISBLANK('Conceptos creados por usuario'!A50),"",CONCATENATE('Conceptos creados por usuario'!A50,"-",'Conceptos creados por usuario'!B50,"-",'Conceptos creados por usuario'!C50))</f>
        <v/>
      </c>
      <c r="B88">
        <f>'Conceptos creados por usuario'!A50</f>
        <v>0</v>
      </c>
      <c r="C88">
        <f>'Conceptos creados por usuario'!C50</f>
        <v>0</v>
      </c>
      <c r="D88" t="str">
        <v>Valor $</v>
      </c>
    </row>
    <row r="89">
      <c r="A89" t="str">
        <f>IF(ISBLANK('Conceptos creados por usuario'!A51),"",CONCATENATE('Conceptos creados por usuario'!A51,"-",'Conceptos creados por usuario'!B51,"-",'Conceptos creados por usuario'!C51))</f>
        <v/>
      </c>
      <c r="B89">
        <f>'Conceptos creados por usuario'!A51</f>
        <v>0</v>
      </c>
      <c r="C89">
        <f>'Conceptos creados por usuario'!C51</f>
        <v>0</v>
      </c>
      <c r="D89" t="str">
        <v>Valor $</v>
      </c>
    </row>
    <row r="90">
      <c r="A90" t="str">
        <f>IF(ISBLANK('Conceptos creados por usuario'!A52),"",CONCATENATE('Conceptos creados por usuario'!A52,"-",'Conceptos creados por usuario'!B52,"-",'Conceptos creados por usuario'!C52))</f>
        <v/>
      </c>
      <c r="B90">
        <f>'Conceptos creados por usuario'!A52</f>
        <v>0</v>
      </c>
      <c r="C90">
        <f>'Conceptos creados por usuario'!C52</f>
        <v>0</v>
      </c>
      <c r="D90" t="str">
        <v>Valor $</v>
      </c>
    </row>
    <row r="91">
      <c r="A91" t="str">
        <f>IF(ISBLANK('Conceptos creados por usuario'!A53),"",CONCATENATE('Conceptos creados por usuario'!A53,"-",'Conceptos creados por usuario'!B53,"-",'Conceptos creados por usuario'!C53))</f>
        <v/>
      </c>
      <c r="B91">
        <f>'Conceptos creados por usuario'!A53</f>
        <v>0</v>
      </c>
      <c r="C91">
        <f>'Conceptos creados por usuario'!C53</f>
        <v>0</v>
      </c>
      <c r="D91" t="str">
        <v>Valor $</v>
      </c>
    </row>
    <row r="92">
      <c r="A92" t="str">
        <f>IF(ISBLANK('Conceptos creados por usuario'!A54),"",CONCATENATE('Conceptos creados por usuario'!A54,"-",'Conceptos creados por usuario'!B54,"-",'Conceptos creados por usuario'!C54))</f>
        <v/>
      </c>
      <c r="B92">
        <f>'Conceptos creados por usuario'!A54</f>
        <v>0</v>
      </c>
      <c r="C92">
        <f>'Conceptos creados por usuario'!C54</f>
        <v>0</v>
      </c>
      <c r="D92" t="str">
        <v>Valor $</v>
      </c>
    </row>
    <row r="93">
      <c r="A93" t="str">
        <f>IF(ISBLANK('Conceptos creados por usuario'!A55),"",CONCATENATE('Conceptos creados por usuario'!A55,"-",'Conceptos creados por usuario'!B55,"-",'Conceptos creados por usuario'!C55))</f>
        <v/>
      </c>
      <c r="B93">
        <f>'Conceptos creados por usuario'!A55</f>
        <v>0</v>
      </c>
      <c r="C93">
        <f>'Conceptos creados por usuario'!C55</f>
        <v>0</v>
      </c>
      <c r="D93" t="str">
        <v>Valor $</v>
      </c>
    </row>
    <row r="94">
      <c r="A94" t="str">
        <f>IF(ISBLANK('Conceptos creados por usuario'!A56),"",CONCATENATE('Conceptos creados por usuario'!A56,"-",'Conceptos creados por usuario'!B56,"-",'Conceptos creados por usuario'!C56))</f>
        <v/>
      </c>
      <c r="B94">
        <f>'Conceptos creados por usuario'!A56</f>
        <v>0</v>
      </c>
      <c r="C94">
        <f>'Conceptos creados por usuario'!C56</f>
        <v>0</v>
      </c>
      <c r="D94" t="str">
        <v>Valor $</v>
      </c>
    </row>
    <row r="95">
      <c r="A95" t="str">
        <f>IF(ISBLANK('Conceptos creados por usuario'!A57),"",CONCATENATE('Conceptos creados por usuario'!A57,"-",'Conceptos creados por usuario'!B57,"-",'Conceptos creados por usuario'!C57))</f>
        <v/>
      </c>
      <c r="B95">
        <f>'Conceptos creados por usuario'!A57</f>
        <v>0</v>
      </c>
      <c r="C95">
        <f>'Conceptos creados por usuario'!C57</f>
        <v>0</v>
      </c>
      <c r="D95" t="str">
        <v>Valor $</v>
      </c>
    </row>
    <row r="96">
      <c r="A96" t="str">
        <f>IF(ISBLANK('Conceptos creados por usuario'!A58),"",CONCATENATE('Conceptos creados por usuario'!A58,"-",'Conceptos creados por usuario'!B58,"-",'Conceptos creados por usuario'!C58))</f>
        <v/>
      </c>
      <c r="B96">
        <f>'Conceptos creados por usuario'!A58</f>
        <v>0</v>
      </c>
      <c r="C96">
        <f>'Conceptos creados por usuario'!C58</f>
        <v>0</v>
      </c>
      <c r="D96" t="str">
        <v>Valor $</v>
      </c>
    </row>
    <row r="97">
      <c r="A97" t="str">
        <f>IF(ISBLANK('Conceptos creados por usuario'!A59),"",CONCATENATE('Conceptos creados por usuario'!A59,"-",'Conceptos creados por usuario'!B59,"-",'Conceptos creados por usuario'!C59))</f>
        <v/>
      </c>
      <c r="B97">
        <f>'Conceptos creados por usuario'!A59</f>
        <v>0</v>
      </c>
      <c r="C97">
        <f>'Conceptos creados por usuario'!C59</f>
        <v>0</v>
      </c>
      <c r="D97" t="str">
        <v>Valor $</v>
      </c>
    </row>
    <row r="98">
      <c r="A98" t="str">
        <f>IF(ISBLANK('Conceptos creados por usuario'!A60),"",CONCATENATE('Conceptos creados por usuario'!A60,"-",'Conceptos creados por usuario'!B60,"-",'Conceptos creados por usuario'!C60))</f>
        <v/>
      </c>
      <c r="B98">
        <f>'Conceptos creados por usuario'!A60</f>
        <v>0</v>
      </c>
      <c r="C98">
        <f>'Conceptos creados por usuario'!C60</f>
        <v>0</v>
      </c>
      <c r="D98" t="str">
        <v>Valor $</v>
      </c>
    </row>
    <row r="99">
      <c r="A99" t="str">
        <f>IF(ISBLANK('Conceptos creados por usuario'!A61),"",CONCATENATE('Conceptos creados por usuario'!A61,"-",'Conceptos creados por usuario'!B61,"-",'Conceptos creados por usuario'!C61))</f>
        <v/>
      </c>
      <c r="B99">
        <f>'Conceptos creados por usuario'!A61</f>
        <v>0</v>
      </c>
      <c r="C99">
        <f>'Conceptos creados por usuario'!C61</f>
        <v>0</v>
      </c>
      <c r="D99" t="str">
        <v>Valor $</v>
      </c>
    </row>
    <row r="100">
      <c r="A100" t="str">
        <f>IF(ISBLANK('Conceptos creados por usuario'!A62),"",CONCATENATE('Conceptos creados por usuario'!A62,"-",'Conceptos creados por usuario'!B62,"-",'Conceptos creados por usuario'!C62))</f>
        <v/>
      </c>
      <c r="B100">
        <f>'Conceptos creados por usuario'!A62</f>
        <v>0</v>
      </c>
      <c r="C100">
        <f>'Conceptos creados por usuario'!C62</f>
        <v>0</v>
      </c>
      <c r="D100" t="str">
        <v>Valor $</v>
      </c>
    </row>
    <row r="101">
      <c r="A101" t="str">
        <f>IF(ISBLANK('Conceptos creados por usuario'!A63),"",CONCATENATE('Conceptos creados por usuario'!A63,"-",'Conceptos creados por usuario'!B63,"-",'Conceptos creados por usuario'!C63))</f>
        <v/>
      </c>
      <c r="B101">
        <f>'Conceptos creados por usuario'!A63</f>
        <v>0</v>
      </c>
      <c r="C101">
        <f>'Conceptos creados por usuario'!C63</f>
        <v>0</v>
      </c>
      <c r="D101" t="str">
        <v>Valor $</v>
      </c>
    </row>
    <row r="102">
      <c r="A102" t="str">
        <f>IF(ISBLANK('Conceptos creados por usuario'!A64),"",CONCATENATE('Conceptos creados por usuario'!A64,"-",'Conceptos creados por usuario'!B64,"-",'Conceptos creados por usuario'!C64))</f>
        <v/>
      </c>
      <c r="B102">
        <f>'Conceptos creados por usuario'!A64</f>
        <v>0</v>
      </c>
      <c r="C102">
        <f>'Conceptos creados por usuario'!C64</f>
        <v>0</v>
      </c>
      <c r="D102" t="str">
        <v>Valor $</v>
      </c>
    </row>
    <row r="103">
      <c r="A103" t="str">
        <f>IF(ISBLANK('Conceptos creados por usuario'!A65),"",CONCATENATE('Conceptos creados por usuario'!A65,"-",'Conceptos creados por usuario'!B65,"-",'Conceptos creados por usuario'!C65))</f>
        <v/>
      </c>
      <c r="B103">
        <f>'Conceptos creados por usuario'!A65</f>
        <v>0</v>
      </c>
      <c r="C103">
        <f>'Conceptos creados por usuario'!C65</f>
        <v>0</v>
      </c>
      <c r="D103" t="str">
        <v>Valor $</v>
      </c>
    </row>
    <row r="104">
      <c r="A104" t="str">
        <f>IF(ISBLANK('Conceptos creados por usuario'!A66),"",CONCATENATE('Conceptos creados por usuario'!A66,"-",'Conceptos creados por usuario'!B66,"-",'Conceptos creados por usuario'!C66))</f>
        <v/>
      </c>
      <c r="B104">
        <f>'Conceptos creados por usuario'!A66</f>
        <v>0</v>
      </c>
      <c r="C104">
        <f>'Conceptos creados por usuario'!C66</f>
        <v>0</v>
      </c>
      <c r="D104" t="str">
        <v>Valor $</v>
      </c>
    </row>
    <row r="105">
      <c r="A105" t="str">
        <f>IF(ISBLANK('Conceptos creados por usuario'!A67),"",CONCATENATE('Conceptos creados por usuario'!A67,"-",'Conceptos creados por usuario'!B67,"-",'Conceptos creados por usuario'!C67))</f>
        <v/>
      </c>
      <c r="B105">
        <f>'Conceptos creados por usuario'!A67</f>
        <v>0</v>
      </c>
      <c r="C105">
        <f>'Conceptos creados por usuario'!C67</f>
        <v>0</v>
      </c>
      <c r="D105" t="str">
        <v>Valor $</v>
      </c>
    </row>
    <row r="106">
      <c r="A106" t="str">
        <f>IF(ISBLANK('Conceptos creados por usuario'!A68),"",CONCATENATE('Conceptos creados por usuario'!A68,"-",'Conceptos creados por usuario'!B68,"-",'Conceptos creados por usuario'!C68))</f>
        <v/>
      </c>
      <c r="B106">
        <f>'Conceptos creados por usuario'!A68</f>
        <v>0</v>
      </c>
      <c r="C106">
        <f>'Conceptos creados por usuario'!C68</f>
        <v>0</v>
      </c>
      <c r="D106" t="str">
        <v>Valor $</v>
      </c>
    </row>
    <row r="107">
      <c r="A107" t="str">
        <f>IF(ISBLANK('Conceptos creados por usuario'!A69),"",CONCATENATE('Conceptos creados por usuario'!A69,"-",'Conceptos creados por usuario'!B69,"-",'Conceptos creados por usuario'!C69))</f>
        <v/>
      </c>
      <c r="B107">
        <f>'Conceptos creados por usuario'!A69</f>
        <v>0</v>
      </c>
      <c r="C107">
        <f>'Conceptos creados por usuario'!C69</f>
        <v>0</v>
      </c>
      <c r="D107" t="str">
        <v>Valor $</v>
      </c>
    </row>
    <row r="108">
      <c r="A108" t="str">
        <f>IF(ISBLANK('Conceptos creados por usuario'!A70),"",CONCATENATE('Conceptos creados por usuario'!A70,"-",'Conceptos creados por usuario'!B70,"-",'Conceptos creados por usuario'!C70))</f>
        <v/>
      </c>
      <c r="B108">
        <f>'Conceptos creados por usuario'!A70</f>
        <v>0</v>
      </c>
      <c r="C108">
        <f>'Conceptos creados por usuario'!C70</f>
        <v>0</v>
      </c>
      <c r="D108" t="str">
        <v>Valor $</v>
      </c>
    </row>
    <row r="109">
      <c r="A109" t="str">
        <f>IF(ISBLANK('Conceptos creados por usuario'!A71),"",CONCATENATE('Conceptos creados por usuario'!A71,"-",'Conceptos creados por usuario'!B71,"-",'Conceptos creados por usuario'!C71))</f>
        <v/>
      </c>
      <c r="B109">
        <f>'Conceptos creados por usuario'!A71</f>
        <v>0</v>
      </c>
      <c r="C109">
        <f>'Conceptos creados por usuario'!C71</f>
        <v>0</v>
      </c>
      <c r="D109" t="str">
        <v>Valor $</v>
      </c>
    </row>
    <row r="110">
      <c r="A110" t="str">
        <f>IF(ISBLANK('Conceptos creados por usuario'!A72),"",CONCATENATE('Conceptos creados por usuario'!A72,"-",'Conceptos creados por usuario'!B72,"-",'Conceptos creados por usuario'!C72))</f>
        <v/>
      </c>
      <c r="B110">
        <f>'Conceptos creados por usuario'!A72</f>
        <v>0</v>
      </c>
      <c r="C110">
        <f>'Conceptos creados por usuario'!C72</f>
        <v>0</v>
      </c>
      <c r="D110" t="str">
        <v>Valor $</v>
      </c>
    </row>
    <row r="111">
      <c r="A111" t="str">
        <f>IF(ISBLANK('Conceptos creados por usuario'!A73),"",CONCATENATE('Conceptos creados por usuario'!A73,"-",'Conceptos creados por usuario'!B73,"-",'Conceptos creados por usuario'!C73))</f>
        <v/>
      </c>
      <c r="B111">
        <f>'Conceptos creados por usuario'!A73</f>
        <v>0</v>
      </c>
      <c r="C111">
        <f>'Conceptos creados por usuario'!C73</f>
        <v>0</v>
      </c>
      <c r="D111" t="str">
        <v>Valor $</v>
      </c>
    </row>
    <row r="112">
      <c r="A112" t="str">
        <f>IF(ISBLANK('Conceptos creados por usuario'!A74),"",CONCATENATE('Conceptos creados por usuario'!A74,"-",'Conceptos creados por usuario'!B74,"-",'Conceptos creados por usuario'!C74))</f>
        <v/>
      </c>
      <c r="B112">
        <f>'Conceptos creados por usuario'!A74</f>
        <v>0</v>
      </c>
      <c r="C112">
        <f>'Conceptos creados por usuario'!C74</f>
        <v>0</v>
      </c>
      <c r="D112" t="str">
        <v>Valor $</v>
      </c>
    </row>
    <row r="113">
      <c r="A113" t="str">
        <f>IF(ISBLANK('Conceptos creados por usuario'!A75),"",CONCATENATE('Conceptos creados por usuario'!A75,"-",'Conceptos creados por usuario'!B75,"-",'Conceptos creados por usuario'!C75))</f>
        <v/>
      </c>
      <c r="B113">
        <f>'Conceptos creados por usuario'!A75</f>
        <v>0</v>
      </c>
      <c r="C113">
        <f>'Conceptos creados por usuario'!C75</f>
        <v>0</v>
      </c>
      <c r="D113" t="str">
        <v>Valor $</v>
      </c>
    </row>
    <row r="114">
      <c r="A114" t="str">
        <f>IF(ISBLANK('Conceptos creados por usuario'!A76),"",CONCATENATE('Conceptos creados por usuario'!A76,"-",'Conceptos creados por usuario'!B76,"-",'Conceptos creados por usuario'!C76))</f>
        <v/>
      </c>
      <c r="B114">
        <f>'Conceptos creados por usuario'!A76</f>
        <v>0</v>
      </c>
      <c r="C114">
        <f>'Conceptos creados por usuario'!C76</f>
        <v>0</v>
      </c>
      <c r="D114" t="str">
        <v>Valor $</v>
      </c>
    </row>
    <row r="115">
      <c r="A115" t="str">
        <f>IF(ISBLANK('Conceptos creados por usuario'!A77),"",CONCATENATE('Conceptos creados por usuario'!A77,"-",'Conceptos creados por usuario'!B77,"-",'Conceptos creados por usuario'!C77))</f>
        <v/>
      </c>
      <c r="B115">
        <f>'Conceptos creados por usuario'!A77</f>
        <v>0</v>
      </c>
      <c r="C115">
        <f>'Conceptos creados por usuario'!C77</f>
        <v>0</v>
      </c>
      <c r="D115" t="str">
        <v>Valor $</v>
      </c>
    </row>
    <row r="116">
      <c r="A116" t="str">
        <f>IF(ISBLANK('Conceptos creados por usuario'!A78),"",CONCATENATE('Conceptos creados por usuario'!A78,"-",'Conceptos creados por usuario'!B78,"-",'Conceptos creados por usuario'!C78))</f>
        <v/>
      </c>
      <c r="B116">
        <f>'Conceptos creados por usuario'!A78</f>
        <v>0</v>
      </c>
      <c r="C116">
        <f>'Conceptos creados por usuario'!C78</f>
        <v>0</v>
      </c>
      <c r="D116" t="str">
        <v>Valor $</v>
      </c>
    </row>
    <row r="117">
      <c r="A117" t="str">
        <f>IF(ISBLANK('Conceptos creados por usuario'!A79),"",CONCATENATE('Conceptos creados por usuario'!A79,"-",'Conceptos creados por usuario'!B79,"-",'Conceptos creados por usuario'!C79))</f>
        <v/>
      </c>
      <c r="B117">
        <f>'Conceptos creados por usuario'!A79</f>
        <v>0</v>
      </c>
      <c r="C117">
        <f>'Conceptos creados por usuario'!C79</f>
        <v>0</v>
      </c>
      <c r="D117" t="str">
        <v>Valor $</v>
      </c>
    </row>
    <row r="118">
      <c r="A118" t="str">
        <f>IF(ISBLANK('Conceptos creados por usuario'!A80),"",CONCATENATE('Conceptos creados por usuario'!A80,"-",'Conceptos creados por usuario'!B80,"-",'Conceptos creados por usuario'!C80))</f>
        <v/>
      </c>
      <c r="B118">
        <f>'Conceptos creados por usuario'!A80</f>
        <v>0</v>
      </c>
      <c r="C118">
        <f>'Conceptos creados por usuario'!C80</f>
        <v>0</v>
      </c>
      <c r="D118" t="str">
        <v>Valor $</v>
      </c>
    </row>
    <row r="119">
      <c r="A119" t="str">
        <f>IF(ISBLANK('Conceptos creados por usuario'!A81),"",CONCATENATE('Conceptos creados por usuario'!A81,"-",'Conceptos creados por usuario'!B81,"-",'Conceptos creados por usuario'!C81))</f>
        <v/>
      </c>
      <c r="B119">
        <f>'Conceptos creados por usuario'!A81</f>
        <v>0</v>
      </c>
      <c r="C119">
        <f>'Conceptos creados por usuario'!C81</f>
        <v>0</v>
      </c>
      <c r="D119" t="str">
        <v>Valor $</v>
      </c>
    </row>
    <row r="120">
      <c r="A120" t="str">
        <f>IF(ISBLANK('Conceptos creados por usuario'!A82),"",CONCATENATE('Conceptos creados por usuario'!A82,"-",'Conceptos creados por usuario'!B82,"-",'Conceptos creados por usuario'!C82))</f>
        <v/>
      </c>
      <c r="B120">
        <f>'Conceptos creados por usuario'!A82</f>
        <v>0</v>
      </c>
      <c r="C120">
        <f>'Conceptos creados por usuario'!C82</f>
        <v>0</v>
      </c>
      <c r="D120" t="str">
        <v>Valor $</v>
      </c>
    </row>
    <row r="121">
      <c r="A121" t="str">
        <f>IF(ISBLANK('Conceptos creados por usuario'!A83),"",CONCATENATE('Conceptos creados por usuario'!A83,"-",'Conceptos creados por usuario'!B83,"-",'Conceptos creados por usuario'!C83))</f>
        <v/>
      </c>
      <c r="B121">
        <f>'Conceptos creados por usuario'!A83</f>
        <v>0</v>
      </c>
      <c r="C121">
        <f>'Conceptos creados por usuario'!C83</f>
        <v>0</v>
      </c>
      <c r="D121" t="str">
        <v>Valor $</v>
      </c>
    </row>
    <row r="122">
      <c r="A122" t="str">
        <f>IF(ISBLANK('Conceptos creados por usuario'!A84),"",CONCATENATE('Conceptos creados por usuario'!A84,"-",'Conceptos creados por usuario'!B84,"-",'Conceptos creados por usuario'!C84))</f>
        <v/>
      </c>
      <c r="B122">
        <f>'Conceptos creados por usuario'!A84</f>
        <v>0</v>
      </c>
      <c r="C122">
        <f>'Conceptos creados por usuario'!C84</f>
        <v>0</v>
      </c>
      <c r="D122" t="str">
        <v>Valor $</v>
      </c>
    </row>
    <row r="123">
      <c r="A123" t="str">
        <f>IF(ISBLANK('Conceptos creados por usuario'!A85),"",CONCATENATE('Conceptos creados por usuario'!A85,"-",'Conceptos creados por usuario'!B85,"-",'Conceptos creados por usuario'!C85))</f>
        <v/>
      </c>
      <c r="B123">
        <f>'Conceptos creados por usuario'!A85</f>
        <v>0</v>
      </c>
      <c r="C123">
        <f>'Conceptos creados por usuario'!C85</f>
        <v>0</v>
      </c>
      <c r="D123" t="str">
        <v>Valor $</v>
      </c>
    </row>
    <row r="124">
      <c r="A124" t="str">
        <f>IF(ISBLANK('Conceptos creados por usuario'!A86),"",CONCATENATE('Conceptos creados por usuario'!A86,"-",'Conceptos creados por usuario'!B86,"-",'Conceptos creados por usuario'!C86))</f>
        <v/>
      </c>
      <c r="B124">
        <f>'Conceptos creados por usuario'!A86</f>
        <v>0</v>
      </c>
      <c r="C124">
        <f>'Conceptos creados por usuario'!C86</f>
        <v>0</v>
      </c>
      <c r="D124" t="str">
        <v>Valor $</v>
      </c>
    </row>
    <row r="125">
      <c r="A125" t="str">
        <f>IF(ISBLANK('Conceptos creados por usuario'!A87),"",CONCATENATE('Conceptos creados por usuario'!A87,"-",'Conceptos creados por usuario'!B87,"-",'Conceptos creados por usuario'!C87))</f>
        <v/>
      </c>
      <c r="B125">
        <f>'Conceptos creados por usuario'!A87</f>
        <v>0</v>
      </c>
      <c r="C125">
        <f>'Conceptos creados por usuario'!C87</f>
        <v>0</v>
      </c>
      <c r="D125" t="str">
        <v>Valor $</v>
      </c>
    </row>
    <row r="126">
      <c r="A126" t="str">
        <f>IF(ISBLANK('Conceptos creados por usuario'!A88),"",CONCATENATE('Conceptos creados por usuario'!A88,"-",'Conceptos creados por usuario'!B88,"-",'Conceptos creados por usuario'!C88))</f>
        <v/>
      </c>
      <c r="B126">
        <f>'Conceptos creados por usuario'!A88</f>
        <v>0</v>
      </c>
      <c r="C126">
        <f>'Conceptos creados por usuario'!C88</f>
        <v>0</v>
      </c>
      <c r="D126" t="str">
        <v>Valor $</v>
      </c>
    </row>
    <row r="127">
      <c r="A127" t="str">
        <f>IF(ISBLANK('Conceptos creados por usuario'!A89),"",CONCATENATE('Conceptos creados por usuario'!A89,"-",'Conceptos creados por usuario'!B89,"-",'Conceptos creados por usuario'!C89))</f>
        <v/>
      </c>
      <c r="B127">
        <f>'Conceptos creados por usuario'!A89</f>
        <v>0</v>
      </c>
      <c r="C127">
        <f>'Conceptos creados por usuario'!C89</f>
        <v>0</v>
      </c>
      <c r="D127" t="str">
        <v>Valor $</v>
      </c>
    </row>
    <row r="128">
      <c r="A128" t="str">
        <f>IF(ISBLANK('Conceptos creados por usuario'!A90),"",CONCATENATE('Conceptos creados por usuario'!A90,"-",'Conceptos creados por usuario'!B90,"-",'Conceptos creados por usuario'!C90))</f>
        <v/>
      </c>
      <c r="B128">
        <f>'Conceptos creados por usuario'!A90</f>
        <v>0</v>
      </c>
      <c r="C128">
        <f>'Conceptos creados por usuario'!C90</f>
        <v>0</v>
      </c>
      <c r="D128" t="str">
        <v>Valor $</v>
      </c>
    </row>
    <row r="129">
      <c r="A129" t="str">
        <f>IF(ISBLANK('Conceptos creados por usuario'!A91),"",CONCATENATE('Conceptos creados por usuario'!A91,"-",'Conceptos creados por usuario'!B91,"-",'Conceptos creados por usuario'!C91))</f>
        <v/>
      </c>
      <c r="B129">
        <f>'Conceptos creados por usuario'!A91</f>
        <v>0</v>
      </c>
      <c r="C129">
        <f>'Conceptos creados por usuario'!C91</f>
        <v>0</v>
      </c>
      <c r="D129" t="str">
        <v>Valor $</v>
      </c>
    </row>
    <row r="130">
      <c r="A130" t="str">
        <f>IF(ISBLANK('Conceptos creados por usuario'!A92),"",CONCATENATE('Conceptos creados por usuario'!A92,"-",'Conceptos creados por usuario'!B92,"-",'Conceptos creados por usuario'!C92))</f>
        <v/>
      </c>
      <c r="B130">
        <f>'Conceptos creados por usuario'!A92</f>
        <v>0</v>
      </c>
      <c r="C130">
        <f>'Conceptos creados por usuario'!C92</f>
        <v>0</v>
      </c>
      <c r="D130" t="str">
        <v>Valor $</v>
      </c>
    </row>
    <row r="131">
      <c r="A131" t="str">
        <f>IF(ISBLANK('Conceptos creados por usuario'!A93),"",CONCATENATE('Conceptos creados por usuario'!A93,"-",'Conceptos creados por usuario'!B93,"-",'Conceptos creados por usuario'!C93))</f>
        <v/>
      </c>
      <c r="B131">
        <f>'Conceptos creados por usuario'!A93</f>
        <v>0</v>
      </c>
      <c r="C131">
        <f>'Conceptos creados por usuario'!C93</f>
        <v>0</v>
      </c>
      <c r="D131" t="str">
        <v>Valor $</v>
      </c>
    </row>
    <row r="132">
      <c r="A132" t="str">
        <f>IF(ISBLANK('Conceptos creados por usuario'!A94),"",CONCATENATE('Conceptos creados por usuario'!A94,"-",'Conceptos creados por usuario'!B94,"-",'Conceptos creados por usuario'!C94))</f>
        <v/>
      </c>
      <c r="B132">
        <f>'Conceptos creados por usuario'!A94</f>
        <v>0</v>
      </c>
      <c r="C132">
        <f>'Conceptos creados por usuario'!C94</f>
        <v>0</v>
      </c>
      <c r="D132" t="str">
        <v>Valor $</v>
      </c>
    </row>
    <row r="133">
      <c r="A133" t="str">
        <f>IF(ISBLANK('Conceptos creados por usuario'!A95),"",CONCATENATE('Conceptos creados por usuario'!A95,"-",'Conceptos creados por usuario'!B95,"-",'Conceptos creados por usuario'!C95))</f>
        <v/>
      </c>
      <c r="B133">
        <f>'Conceptos creados por usuario'!A95</f>
        <v>0</v>
      </c>
      <c r="C133">
        <f>'Conceptos creados por usuario'!C95</f>
        <v>0</v>
      </c>
      <c r="D133" t="str">
        <v>Valor $</v>
      </c>
    </row>
    <row r="134">
      <c r="A134" t="str">
        <f>IF(ISBLANK('Conceptos creados por usuario'!A96),"",CONCATENATE('Conceptos creados por usuario'!A96,"-",'Conceptos creados por usuario'!B96,"-",'Conceptos creados por usuario'!C96))</f>
        <v/>
      </c>
      <c r="B134">
        <f>'Conceptos creados por usuario'!A96</f>
        <v>0</v>
      </c>
      <c r="C134">
        <f>'Conceptos creados por usuario'!C96</f>
        <v>0</v>
      </c>
      <c r="D134" t="str">
        <v>Valor $</v>
      </c>
    </row>
    <row r="135">
      <c r="A135" t="str">
        <f>IF(ISBLANK('Conceptos creados por usuario'!A97),"",CONCATENATE('Conceptos creados por usuario'!A97,"-",'Conceptos creados por usuario'!B97,"-",'Conceptos creados por usuario'!C97))</f>
        <v/>
      </c>
      <c r="B135">
        <f>'Conceptos creados por usuario'!A97</f>
        <v>0</v>
      </c>
      <c r="C135">
        <f>'Conceptos creados por usuario'!C97</f>
        <v>0</v>
      </c>
      <c r="D135" t="str">
        <v>Valor $</v>
      </c>
    </row>
    <row r="136">
      <c r="A136" t="str">
        <f>IF(ISBLANK('Conceptos creados por usuario'!A98),"",CONCATENATE('Conceptos creados por usuario'!A98,"-",'Conceptos creados por usuario'!B98,"-",'Conceptos creados por usuario'!C98))</f>
        <v/>
      </c>
      <c r="B136">
        <f>'Conceptos creados por usuario'!A98</f>
        <v>0</v>
      </c>
      <c r="C136">
        <f>'Conceptos creados por usuario'!C98</f>
        <v>0</v>
      </c>
      <c r="D136" t="str">
        <v>Valor $</v>
      </c>
    </row>
    <row r="137">
      <c r="A137" t="str">
        <f>IF(ISBLANK('Conceptos creados por usuario'!A99),"",CONCATENATE('Conceptos creados por usuario'!A99,"-",'Conceptos creados por usuario'!B99,"-",'Conceptos creados por usuario'!C99))</f>
        <v/>
      </c>
      <c r="B137">
        <f>'Conceptos creados por usuario'!A99</f>
        <v>0</v>
      </c>
      <c r="C137">
        <f>'Conceptos creados por usuario'!C99</f>
        <v>0</v>
      </c>
      <c r="D137" t="str">
        <v>Valor $</v>
      </c>
    </row>
    <row r="138">
      <c r="A138" t="str">
        <f>IF(ISBLANK('Conceptos creados por usuario'!A100),"",CONCATENATE('Conceptos creados por usuario'!A100,"-",'Conceptos creados por usuario'!B100,"-",'Conceptos creados por usuario'!C100))</f>
        <v/>
      </c>
      <c r="B138">
        <f>'Conceptos creados por usuario'!A100</f>
        <v>0</v>
      </c>
      <c r="C138">
        <f>'Conceptos creados por usuario'!C100</f>
        <v>0</v>
      </c>
      <c r="D138" t="str">
        <v>Valor $</v>
      </c>
    </row>
    <row r="139">
      <c r="A139" t="str">
        <f>IF(ISBLANK('Conceptos creados por usuario'!A101),"",CONCATENATE('Conceptos creados por usuario'!A101,"-",'Conceptos creados por usuario'!B101,"-",'Conceptos creados por usuario'!C101))</f>
        <v/>
      </c>
      <c r="B139">
        <f>'Conceptos creados por usuario'!A101</f>
        <v>0</v>
      </c>
      <c r="C139">
        <f>'Conceptos creados por usuario'!C101</f>
        <v>0</v>
      </c>
      <c r="D139" t="str">
        <v>Valor $</v>
      </c>
    </row>
    <row r="140">
      <c r="A140" t="str">
        <f>IF(ISBLANK('Conceptos creados por usuario'!A102),"",CONCATENATE('Conceptos creados por usuario'!A102,"-",'Conceptos creados por usuario'!B102,"-",'Conceptos creados por usuario'!C102))</f>
        <v/>
      </c>
      <c r="B140">
        <f>'Conceptos creados por usuario'!A102</f>
        <v>0</v>
      </c>
      <c r="C140">
        <f>'Conceptos creados por usuario'!C102</f>
        <v>0</v>
      </c>
      <c r="D140" t="str">
        <v>Valor $</v>
      </c>
    </row>
    <row r="141">
      <c r="A141" t="str">
        <f>IF(ISBLANK('Conceptos creados por usuario'!A103),"",CONCATENATE('Conceptos creados por usuario'!A103,"-",'Conceptos creados por usuario'!B103,"-",'Conceptos creados por usuario'!C103))</f>
        <v/>
      </c>
      <c r="B141">
        <f>'Conceptos creados por usuario'!A103</f>
        <v>0</v>
      </c>
      <c r="C141">
        <f>'Conceptos creados por usuario'!C103</f>
        <v>0</v>
      </c>
      <c r="D141" t="str">
        <v>Valor $</v>
      </c>
    </row>
    <row r="142">
      <c r="A142" t="str">
        <f>IF(ISBLANK('Conceptos creados por usuario'!A104),"",CONCATENATE('Conceptos creados por usuario'!A104,"-",'Conceptos creados por usuario'!B104,"-",'Conceptos creados por usuario'!C104))</f>
        <v/>
      </c>
      <c r="B142">
        <f>'Conceptos creados por usuario'!A104</f>
        <v>0</v>
      </c>
      <c r="C142">
        <f>'Conceptos creados por usuario'!C104</f>
        <v>0</v>
      </c>
      <c r="D142" t="str">
        <v>Valor $</v>
      </c>
    </row>
    <row r="143">
      <c r="A143" t="str">
        <f>IF(ISBLANK('Conceptos creados por usuario'!A105),"",CONCATENATE('Conceptos creados por usuario'!A105,"-",'Conceptos creados por usuario'!B105,"-",'Conceptos creados por usuario'!C105))</f>
        <v/>
      </c>
      <c r="B143">
        <f>'Conceptos creados por usuario'!A105</f>
        <v>0</v>
      </c>
      <c r="C143">
        <f>'Conceptos creados por usuario'!C105</f>
        <v>0</v>
      </c>
      <c r="D143" t="str">
        <v>Valor $</v>
      </c>
    </row>
    <row r="144">
      <c r="A144" t="str">
        <f>IF(ISBLANK('Conceptos creados por usuario'!A106),"",CONCATENATE('Conceptos creados por usuario'!A106,"-",'Conceptos creados por usuario'!B106,"-",'Conceptos creados por usuario'!C106))</f>
        <v/>
      </c>
      <c r="B144">
        <f>'Conceptos creados por usuario'!A106</f>
        <v>0</v>
      </c>
      <c r="C144">
        <f>'Conceptos creados por usuario'!C106</f>
        <v>0</v>
      </c>
      <c r="D144" t="str">
        <v>Valor $</v>
      </c>
    </row>
    <row r="145">
      <c r="A145" t="str">
        <f>IF(ISBLANK('Conceptos creados por usuario'!A107),"",CONCATENATE('Conceptos creados por usuario'!A107,"-",'Conceptos creados por usuario'!B107,"-",'Conceptos creados por usuario'!C107))</f>
        <v/>
      </c>
      <c r="B145">
        <f>'Conceptos creados por usuario'!A107</f>
        <v>0</v>
      </c>
      <c r="C145">
        <f>'Conceptos creados por usuario'!C107</f>
        <v>0</v>
      </c>
      <c r="D145" t="str">
        <v>Valor $</v>
      </c>
    </row>
    <row r="146">
      <c r="A146" t="str">
        <f>IF(ISBLANK('Conceptos creados por usuario'!A108),"",CONCATENATE('Conceptos creados por usuario'!A108,"-",'Conceptos creados por usuario'!B108,"-",'Conceptos creados por usuario'!C108))</f>
        <v/>
      </c>
      <c r="B146">
        <f>'Conceptos creados por usuario'!A108</f>
        <v>0</v>
      </c>
      <c r="C146">
        <f>'Conceptos creados por usuario'!C108</f>
        <v>0</v>
      </c>
      <c r="D146" t="str">
        <v>Valor $</v>
      </c>
    </row>
    <row r="147">
      <c r="A147" t="str">
        <f>IF(ISBLANK('Conceptos creados por usuario'!A109),"",CONCATENATE('Conceptos creados por usuario'!A109,"-",'Conceptos creados por usuario'!B109,"-",'Conceptos creados por usuario'!C109))</f>
        <v/>
      </c>
      <c r="B147">
        <f>'Conceptos creados por usuario'!A109</f>
        <v>0</v>
      </c>
      <c r="C147">
        <f>'Conceptos creados por usuario'!C109</f>
        <v>0</v>
      </c>
      <c r="D147" t="str">
        <v>Valor $</v>
      </c>
    </row>
    <row r="148">
      <c r="A148" t="str">
        <f>IF(ISBLANK('Conceptos creados por usuario'!A110),"",CONCATENATE('Conceptos creados por usuario'!A110,"-",'Conceptos creados por usuario'!B110,"-",'Conceptos creados por usuario'!C110))</f>
        <v/>
      </c>
      <c r="B148">
        <f>'Conceptos creados por usuario'!A110</f>
        <v>0</v>
      </c>
      <c r="C148">
        <f>'Conceptos creados por usuario'!C110</f>
        <v>0</v>
      </c>
      <c r="D148" t="str">
        <v>Valor $</v>
      </c>
    </row>
    <row r="149">
      <c r="A149" t="str">
        <f>IF(ISBLANK('Conceptos creados por usuario'!A111),"",CONCATENATE('Conceptos creados por usuario'!A111,"-",'Conceptos creados por usuario'!B111,"-",'Conceptos creados por usuario'!C111))</f>
        <v/>
      </c>
      <c r="B149">
        <f>'Conceptos creados por usuario'!A111</f>
        <v>0</v>
      </c>
      <c r="C149">
        <f>'Conceptos creados por usuario'!C111</f>
        <v>0</v>
      </c>
      <c r="D149" t="str">
        <v>Valor $</v>
      </c>
    </row>
    <row r="150">
      <c r="A150" t="str">
        <f>IF(ISBLANK('Conceptos creados por usuario'!A112),"",CONCATENATE('Conceptos creados por usuario'!A112,"-",'Conceptos creados por usuario'!B112,"-",'Conceptos creados por usuario'!C112))</f>
        <v/>
      </c>
      <c r="B150">
        <f>'Conceptos creados por usuario'!A112</f>
        <v>0</v>
      </c>
      <c r="C150">
        <f>'Conceptos creados por usuario'!C112</f>
        <v>0</v>
      </c>
      <c r="D150" t="str">
        <v>Valor $</v>
      </c>
    </row>
    <row r="151">
      <c r="A151" t="str">
        <f>IF(ISBLANK('Conceptos creados por usuario'!A113),"",CONCATENATE('Conceptos creados por usuario'!A113,"-",'Conceptos creados por usuario'!B113,"-",'Conceptos creados por usuario'!C113))</f>
        <v/>
      </c>
      <c r="B151">
        <f>'Conceptos creados por usuario'!A113</f>
        <v>0</v>
      </c>
      <c r="C151">
        <f>'Conceptos creados por usuario'!C113</f>
        <v>0</v>
      </c>
      <c r="D151" t="str">
        <v>Valor $</v>
      </c>
    </row>
    <row r="152">
      <c r="A152" t="str">
        <f>IF(ISBLANK('Conceptos creados por usuario'!A114),"",CONCATENATE('Conceptos creados por usuario'!A114,"-",'Conceptos creados por usuario'!B114,"-",'Conceptos creados por usuario'!C114))</f>
        <v/>
      </c>
      <c r="B152">
        <f>'Conceptos creados por usuario'!A114</f>
        <v>0</v>
      </c>
      <c r="C152">
        <f>'Conceptos creados por usuario'!C114</f>
        <v>0</v>
      </c>
      <c r="D152" t="str">
        <v>Valor $</v>
      </c>
    </row>
    <row r="153">
      <c r="A153" t="str">
        <f>IF(ISBLANK('Conceptos creados por usuario'!A115),"",CONCATENATE('Conceptos creados por usuario'!A115,"-",'Conceptos creados por usuario'!B115,"-",'Conceptos creados por usuario'!C115))</f>
        <v/>
      </c>
      <c r="B153">
        <f>'Conceptos creados por usuario'!A115</f>
        <v>0</v>
      </c>
      <c r="C153">
        <f>'Conceptos creados por usuario'!C115</f>
        <v>0</v>
      </c>
      <c r="D153" t="str">
        <v>Valor $</v>
      </c>
    </row>
    <row r="154">
      <c r="A154" t="str">
        <f>IF(ISBLANK('Conceptos creados por usuario'!A116),"",CONCATENATE('Conceptos creados por usuario'!A116,"-",'Conceptos creados por usuario'!B116,"-",'Conceptos creados por usuario'!C116))</f>
        <v/>
      </c>
      <c r="B154">
        <f>'Conceptos creados por usuario'!A116</f>
        <v>0</v>
      </c>
      <c r="C154">
        <f>'Conceptos creados por usuario'!C116</f>
        <v>0</v>
      </c>
      <c r="D154" t="str">
        <v>Valor $</v>
      </c>
    </row>
    <row r="155">
      <c r="A155" t="str">
        <f>IF(ISBLANK('Conceptos creados por usuario'!A117),"",CONCATENATE('Conceptos creados por usuario'!A117,"-",'Conceptos creados por usuario'!B117,"-",'Conceptos creados por usuario'!C117))</f>
        <v/>
      </c>
      <c r="B155">
        <f>'Conceptos creados por usuario'!A117</f>
        <v>0</v>
      </c>
      <c r="C155">
        <f>'Conceptos creados por usuario'!C117</f>
        <v>0</v>
      </c>
      <c r="D155" t="str">
        <v>Valor $</v>
      </c>
    </row>
    <row r="156">
      <c r="A156" t="str">
        <f>IF(ISBLANK('Conceptos creados por usuario'!A118),"",CONCATENATE('Conceptos creados por usuario'!A118,"-",'Conceptos creados por usuario'!B118,"-",'Conceptos creados por usuario'!C118))</f>
        <v/>
      </c>
      <c r="B156">
        <f>'Conceptos creados por usuario'!A118</f>
        <v>0</v>
      </c>
      <c r="C156">
        <f>'Conceptos creados por usuario'!C118</f>
        <v>0</v>
      </c>
      <c r="D156" t="str">
        <v>Valor $</v>
      </c>
    </row>
    <row r="157">
      <c r="A157" t="str">
        <f>IF(ISBLANK('Conceptos creados por usuario'!A119),"",CONCATENATE('Conceptos creados por usuario'!A119,"-",'Conceptos creados por usuario'!B119,"-",'Conceptos creados por usuario'!C119))</f>
        <v/>
      </c>
      <c r="B157">
        <f>'Conceptos creados por usuario'!A119</f>
        <v>0</v>
      </c>
      <c r="C157">
        <f>'Conceptos creados por usuario'!C119</f>
        <v>0</v>
      </c>
      <c r="D157" t="str">
        <v>Valor $</v>
      </c>
    </row>
    <row r="158">
      <c r="A158" t="str">
        <f>IF(ISBLANK('Conceptos creados por usuario'!A120),"",CONCATENATE('Conceptos creados por usuario'!A120,"-",'Conceptos creados por usuario'!B120,"-",'Conceptos creados por usuario'!C120))</f>
        <v/>
      </c>
      <c r="B158">
        <f>'Conceptos creados por usuario'!A120</f>
        <v>0</v>
      </c>
      <c r="C158">
        <f>'Conceptos creados por usuario'!C120</f>
        <v>0</v>
      </c>
      <c r="D158" t="str">
        <v>Valor $</v>
      </c>
    </row>
    <row r="159">
      <c r="A159" t="str">
        <f>IF(ISBLANK('Conceptos creados por usuario'!A121),"",CONCATENATE('Conceptos creados por usuario'!A121,"-",'Conceptos creados por usuario'!B121,"-",'Conceptos creados por usuario'!C121))</f>
        <v/>
      </c>
      <c r="B159">
        <f>'Conceptos creados por usuario'!A121</f>
        <v>0</v>
      </c>
      <c r="C159">
        <f>'Conceptos creados por usuario'!C121</f>
        <v>0</v>
      </c>
      <c r="D159" t="str">
        <v>Valor $</v>
      </c>
    </row>
    <row r="160">
      <c r="A160" t="str">
        <f>IF(ISBLANK('Conceptos creados por usuario'!A122),"",CONCATENATE('Conceptos creados por usuario'!A122,"-",'Conceptos creados por usuario'!B122,"-",'Conceptos creados por usuario'!C122))</f>
        <v/>
      </c>
      <c r="B160">
        <f>'Conceptos creados por usuario'!A122</f>
        <v>0</v>
      </c>
      <c r="C160">
        <f>'Conceptos creados por usuario'!C122</f>
        <v>0</v>
      </c>
      <c r="D160" t="str">
        <v>Valor $</v>
      </c>
    </row>
    <row r="161">
      <c r="A161" t="str">
        <f>IF(ISBLANK('Conceptos creados por usuario'!A123),"",CONCATENATE('Conceptos creados por usuario'!A123,"-",'Conceptos creados por usuario'!B123,"-",'Conceptos creados por usuario'!C123))</f>
        <v/>
      </c>
      <c r="B161">
        <f>'Conceptos creados por usuario'!A123</f>
        <v>0</v>
      </c>
      <c r="C161">
        <f>'Conceptos creados por usuario'!C123</f>
        <v>0</v>
      </c>
      <c r="D161" t="str">
        <v>Valor $</v>
      </c>
    </row>
    <row r="162">
      <c r="A162" t="str">
        <f>IF(ISBLANK('Conceptos creados por usuario'!A124),"",CONCATENATE('Conceptos creados por usuario'!A124,"-",'Conceptos creados por usuario'!B124,"-",'Conceptos creados por usuario'!C124))</f>
        <v/>
      </c>
      <c r="B162">
        <f>'Conceptos creados por usuario'!A124</f>
        <v>0</v>
      </c>
      <c r="C162">
        <f>'Conceptos creados por usuario'!C124</f>
        <v>0</v>
      </c>
      <c r="D162" t="str">
        <v>Valor $</v>
      </c>
    </row>
    <row r="163">
      <c r="A163" t="str">
        <f>IF(ISBLANK('Conceptos creados por usuario'!A125),"",CONCATENATE('Conceptos creados por usuario'!A125,"-",'Conceptos creados por usuario'!B125,"-",'Conceptos creados por usuario'!C125))</f>
        <v/>
      </c>
      <c r="B163">
        <f>'Conceptos creados por usuario'!A125</f>
        <v>0</v>
      </c>
      <c r="C163">
        <f>'Conceptos creados por usuario'!C125</f>
        <v>0</v>
      </c>
      <c r="D163" t="str">
        <v>Valor $</v>
      </c>
    </row>
    <row r="164">
      <c r="A164" t="str">
        <f>IF(ISBLANK('Conceptos creados por usuario'!A126),"",CONCATENATE('Conceptos creados por usuario'!A126,"-",'Conceptos creados por usuario'!B126,"-",'Conceptos creados por usuario'!C126))</f>
        <v/>
      </c>
      <c r="B164">
        <f>'Conceptos creados por usuario'!A126</f>
        <v>0</v>
      </c>
      <c r="C164">
        <f>'Conceptos creados por usuario'!C126</f>
        <v>0</v>
      </c>
      <c r="D164" t="str">
        <v>Valor $</v>
      </c>
    </row>
    <row r="165">
      <c r="A165" t="str">
        <f>IF(ISBLANK('Conceptos creados por usuario'!A127),"",CONCATENATE('Conceptos creados por usuario'!A127,"-",'Conceptos creados por usuario'!B127,"-",'Conceptos creados por usuario'!C127))</f>
        <v/>
      </c>
      <c r="B165">
        <f>'Conceptos creados por usuario'!A127</f>
        <v>0</v>
      </c>
      <c r="C165">
        <f>'Conceptos creados por usuario'!C127</f>
        <v>0</v>
      </c>
      <c r="D165" t="str">
        <v>Valor $</v>
      </c>
    </row>
    <row r="166">
      <c r="A166" t="str">
        <f>IF(ISBLANK('Conceptos creados por usuario'!A128),"",CONCATENATE('Conceptos creados por usuario'!A128,"-",'Conceptos creados por usuario'!B128,"-",'Conceptos creados por usuario'!C128))</f>
        <v/>
      </c>
      <c r="B166">
        <f>'Conceptos creados por usuario'!A128</f>
        <v>0</v>
      </c>
      <c r="C166">
        <f>'Conceptos creados por usuario'!C128</f>
        <v>0</v>
      </c>
      <c r="D166" t="str">
        <v>Valor $</v>
      </c>
    </row>
    <row r="167">
      <c r="A167" t="str">
        <f>IF(ISBLANK('Conceptos creados por usuario'!A129),"",CONCATENATE('Conceptos creados por usuario'!A129,"-",'Conceptos creados por usuario'!B129,"-",'Conceptos creados por usuario'!C129))</f>
        <v/>
      </c>
      <c r="B167">
        <f>'Conceptos creados por usuario'!A129</f>
        <v>0</v>
      </c>
      <c r="C167">
        <f>'Conceptos creados por usuario'!C129</f>
        <v>0</v>
      </c>
      <c r="D167" t="str">
        <v>Valor $</v>
      </c>
    </row>
    <row r="168">
      <c r="A168" t="str">
        <f>IF(ISBLANK('Conceptos creados por usuario'!A130),"",CONCATENATE('Conceptos creados por usuario'!A130,"-",'Conceptos creados por usuario'!B130,"-",'Conceptos creados por usuario'!C130))</f>
        <v/>
      </c>
      <c r="B168">
        <f>'Conceptos creados por usuario'!A130</f>
        <v>0</v>
      </c>
      <c r="C168">
        <f>'Conceptos creados por usuario'!C130</f>
        <v>0</v>
      </c>
      <c r="D168" t="str">
        <v>Valor $</v>
      </c>
    </row>
    <row r="169">
      <c r="A169" t="str">
        <f>IF(ISBLANK('Conceptos creados por usuario'!A131),"",CONCATENATE('Conceptos creados por usuario'!A131,"-",'Conceptos creados por usuario'!B131,"-",'Conceptos creados por usuario'!C131))</f>
        <v/>
      </c>
      <c r="B169">
        <f>'Conceptos creados por usuario'!A131</f>
        <v>0</v>
      </c>
      <c r="C169">
        <f>'Conceptos creados por usuario'!C131</f>
        <v>0</v>
      </c>
      <c r="D169" t="str">
        <v>Valor $</v>
      </c>
    </row>
    <row r="170">
      <c r="A170" t="str">
        <f>IF(ISBLANK('Conceptos creados por usuario'!A132),"",CONCATENATE('Conceptos creados por usuario'!A132,"-",'Conceptos creados por usuario'!B132,"-",'Conceptos creados por usuario'!C132))</f>
        <v/>
      </c>
      <c r="B170">
        <f>'Conceptos creados por usuario'!A132</f>
        <v>0</v>
      </c>
      <c r="C170">
        <f>'Conceptos creados por usuario'!C132</f>
        <v>0</v>
      </c>
      <c r="D170" t="str">
        <v>Valor $</v>
      </c>
    </row>
    <row r="171">
      <c r="A171" t="str">
        <f>IF(ISBLANK('Conceptos creados por usuario'!A133),"",CONCATENATE('Conceptos creados por usuario'!A133,"-",'Conceptos creados por usuario'!B133,"-",'Conceptos creados por usuario'!C133))</f>
        <v/>
      </c>
      <c r="B171">
        <f>'Conceptos creados por usuario'!A133</f>
        <v>0</v>
      </c>
      <c r="C171">
        <f>'Conceptos creados por usuario'!C133</f>
        <v>0</v>
      </c>
      <c r="D171" t="str">
        <v>Valor $</v>
      </c>
    </row>
    <row r="172">
      <c r="A172" t="str">
        <f>IF(ISBLANK('Conceptos creados por usuario'!A134),"",CONCATENATE('Conceptos creados por usuario'!A134,"-",'Conceptos creados por usuario'!B134,"-",'Conceptos creados por usuario'!C134))</f>
        <v/>
      </c>
      <c r="B172">
        <f>'Conceptos creados por usuario'!A134</f>
        <v>0</v>
      </c>
      <c r="C172">
        <f>'Conceptos creados por usuario'!C134</f>
        <v>0</v>
      </c>
      <c r="D172" t="str">
        <v>Valor $</v>
      </c>
    </row>
    <row r="173">
      <c r="A173" t="str">
        <f>IF(ISBLANK('Conceptos creados por usuario'!A135),"",CONCATENATE('Conceptos creados por usuario'!A135,"-",'Conceptos creados por usuario'!B135,"-",'Conceptos creados por usuario'!C135))</f>
        <v/>
      </c>
      <c r="B173">
        <f>'Conceptos creados por usuario'!A135</f>
        <v>0</v>
      </c>
      <c r="C173">
        <f>'Conceptos creados por usuario'!C135</f>
        <v>0</v>
      </c>
      <c r="D173" t="str">
        <v>Valor $</v>
      </c>
    </row>
    <row r="174">
      <c r="A174" t="str">
        <f>IF(ISBLANK('Conceptos creados por usuario'!A136),"",CONCATENATE('Conceptos creados por usuario'!A136,"-",'Conceptos creados por usuario'!B136,"-",'Conceptos creados por usuario'!C136))</f>
        <v/>
      </c>
      <c r="B174">
        <f>'Conceptos creados por usuario'!A136</f>
        <v>0</v>
      </c>
      <c r="C174">
        <f>'Conceptos creados por usuario'!C136</f>
        <v>0</v>
      </c>
      <c r="D174" t="str">
        <v>Valor $</v>
      </c>
    </row>
    <row r="175">
      <c r="A175" t="str">
        <f>IF(ISBLANK('Conceptos creados por usuario'!A137),"",CONCATENATE('Conceptos creados por usuario'!A137,"-",'Conceptos creados por usuario'!B137,"-",'Conceptos creados por usuario'!C137))</f>
        <v/>
      </c>
      <c r="B175">
        <f>'Conceptos creados por usuario'!A137</f>
        <v>0</v>
      </c>
      <c r="C175">
        <f>'Conceptos creados por usuario'!C137</f>
        <v>0</v>
      </c>
      <c r="D175" t="str">
        <v>Valor $</v>
      </c>
    </row>
    <row r="176">
      <c r="A176" t="str">
        <f>IF(ISBLANK('Conceptos creados por usuario'!A138),"",CONCATENATE('Conceptos creados por usuario'!A138,"-",'Conceptos creados por usuario'!B138,"-",'Conceptos creados por usuario'!C138))</f>
        <v/>
      </c>
      <c r="B176">
        <f>'Conceptos creados por usuario'!A138</f>
        <v>0</v>
      </c>
      <c r="C176">
        <f>'Conceptos creados por usuario'!C138</f>
        <v>0</v>
      </c>
      <c r="D176" t="str">
        <v>Valor $</v>
      </c>
    </row>
    <row r="177">
      <c r="A177" t="str">
        <f>IF(ISBLANK('Conceptos creados por usuario'!A139),"",CONCATENATE('Conceptos creados por usuario'!A139,"-",'Conceptos creados por usuario'!B139,"-",'Conceptos creados por usuario'!C139))</f>
        <v/>
      </c>
      <c r="B177">
        <f>'Conceptos creados por usuario'!A139</f>
        <v>0</v>
      </c>
      <c r="C177">
        <f>'Conceptos creados por usuario'!C139</f>
        <v>0</v>
      </c>
      <c r="D177" t="str">
        <v>Valor $</v>
      </c>
    </row>
    <row r="178">
      <c r="A178" t="str">
        <f>IF(ISBLANK('Conceptos creados por usuario'!A140),"",CONCATENATE('Conceptos creados por usuario'!A140,"-",'Conceptos creados por usuario'!B140,"-",'Conceptos creados por usuario'!C140))</f>
        <v/>
      </c>
      <c r="B178">
        <f>'Conceptos creados por usuario'!A140</f>
        <v>0</v>
      </c>
      <c r="C178">
        <f>'Conceptos creados por usuario'!C140</f>
        <v>0</v>
      </c>
      <c r="D178" t="str">
        <v>Valor $</v>
      </c>
    </row>
    <row r="179">
      <c r="A179" t="str">
        <f>IF(ISBLANK('Conceptos creados por usuario'!A141),"",CONCATENATE('Conceptos creados por usuario'!A141,"-",'Conceptos creados por usuario'!B141,"-",'Conceptos creados por usuario'!C141))</f>
        <v/>
      </c>
      <c r="B179">
        <f>'Conceptos creados por usuario'!A141</f>
        <v>0</v>
      </c>
      <c r="C179">
        <f>'Conceptos creados por usuario'!C141</f>
        <v>0</v>
      </c>
      <c r="D179" t="str">
        <v>Valor $</v>
      </c>
    </row>
    <row r="180">
      <c r="A180" t="str">
        <f>IF(ISBLANK('Conceptos creados por usuario'!A142),"",CONCATENATE('Conceptos creados por usuario'!A142,"-",'Conceptos creados por usuario'!B142,"-",'Conceptos creados por usuario'!C142))</f>
        <v/>
      </c>
      <c r="B180">
        <f>'Conceptos creados por usuario'!A142</f>
        <v>0</v>
      </c>
      <c r="C180">
        <f>'Conceptos creados por usuario'!C142</f>
        <v>0</v>
      </c>
      <c r="D180" t="str">
        <v>Valor $</v>
      </c>
    </row>
    <row r="181">
      <c r="A181" t="str">
        <f>IF(ISBLANK('Conceptos creados por usuario'!A143),"",CONCATENATE('Conceptos creados por usuario'!A143,"-",'Conceptos creados por usuario'!B143,"-",'Conceptos creados por usuario'!C143))</f>
        <v/>
      </c>
      <c r="B181">
        <f>'Conceptos creados por usuario'!A143</f>
        <v>0</v>
      </c>
      <c r="C181">
        <f>'Conceptos creados por usuario'!C143</f>
        <v>0</v>
      </c>
      <c r="D181" t="str">
        <v>Valor $</v>
      </c>
    </row>
    <row r="182">
      <c r="A182" t="str">
        <f>IF(ISBLANK('Conceptos creados por usuario'!A144),"",CONCATENATE('Conceptos creados por usuario'!A144,"-",'Conceptos creados por usuario'!B144,"-",'Conceptos creados por usuario'!C144))</f>
        <v/>
      </c>
      <c r="B182">
        <f>'Conceptos creados por usuario'!A144</f>
        <v>0</v>
      </c>
      <c r="C182">
        <f>'Conceptos creados por usuario'!C144</f>
        <v>0</v>
      </c>
      <c r="D182" t="str">
        <v>Valor $</v>
      </c>
    </row>
    <row r="183">
      <c r="A183" t="str">
        <f>IF(ISBLANK('Conceptos creados por usuario'!A145),"",CONCATENATE('Conceptos creados por usuario'!A145,"-",'Conceptos creados por usuario'!B145,"-",'Conceptos creados por usuario'!C145))</f>
        <v/>
      </c>
      <c r="B183">
        <f>'Conceptos creados por usuario'!A145</f>
        <v>0</v>
      </c>
      <c r="C183">
        <f>'Conceptos creados por usuario'!C145</f>
        <v>0</v>
      </c>
      <c r="D183" t="str">
        <v>Valor $</v>
      </c>
    </row>
    <row r="184">
      <c r="A184" t="str">
        <f>IF(ISBLANK('Conceptos creados por usuario'!A146),"",CONCATENATE('Conceptos creados por usuario'!A146,"-",'Conceptos creados por usuario'!B146,"-",'Conceptos creados por usuario'!C146))</f>
        <v/>
      </c>
      <c r="B184">
        <f>'Conceptos creados por usuario'!A146</f>
        <v>0</v>
      </c>
      <c r="C184">
        <f>'Conceptos creados por usuario'!C146</f>
        <v>0</v>
      </c>
      <c r="D184" t="str">
        <v>Valor $</v>
      </c>
    </row>
    <row r="185">
      <c r="A185" t="str">
        <f>IF(ISBLANK('Conceptos creados por usuario'!A147),"",CONCATENATE('Conceptos creados por usuario'!A147,"-",'Conceptos creados por usuario'!B147,"-",'Conceptos creados por usuario'!C147))</f>
        <v/>
      </c>
      <c r="B185">
        <f>'Conceptos creados por usuario'!A147</f>
        <v>0</v>
      </c>
      <c r="C185">
        <f>'Conceptos creados por usuario'!C147</f>
        <v>0</v>
      </c>
      <c r="D185" t="str">
        <v>Valor $</v>
      </c>
    </row>
    <row r="186">
      <c r="A186" t="str">
        <f>IF(ISBLANK('Conceptos creados por usuario'!A148),"",CONCATENATE('Conceptos creados por usuario'!A148,"-",'Conceptos creados por usuario'!B148,"-",'Conceptos creados por usuario'!C148))</f>
        <v/>
      </c>
      <c r="B186">
        <f>'Conceptos creados por usuario'!A148</f>
        <v>0</v>
      </c>
      <c r="C186">
        <f>'Conceptos creados por usuario'!C148</f>
        <v>0</v>
      </c>
      <c r="D186" t="str">
        <v>Valor $</v>
      </c>
    </row>
    <row r="187">
      <c r="A187" t="str">
        <f>IF(ISBLANK('Conceptos creados por usuario'!A149),"",CONCATENATE('Conceptos creados por usuario'!A149,"-",'Conceptos creados por usuario'!B149,"-",'Conceptos creados por usuario'!C149))</f>
        <v/>
      </c>
      <c r="B187">
        <f>'Conceptos creados por usuario'!A149</f>
        <v>0</v>
      </c>
      <c r="C187">
        <f>'Conceptos creados por usuario'!C149</f>
        <v>0</v>
      </c>
      <c r="D187" t="str">
        <v>Valor $</v>
      </c>
    </row>
    <row r="188">
      <c r="A188" t="str">
        <f>IF(ISBLANK('Conceptos creados por usuario'!A150),"",CONCATENATE('Conceptos creados por usuario'!A150,"-",'Conceptos creados por usuario'!B150,"-",'Conceptos creados por usuario'!C150))</f>
        <v/>
      </c>
      <c r="B188">
        <f>'Conceptos creados por usuario'!A150</f>
        <v>0</v>
      </c>
      <c r="C188">
        <f>'Conceptos creados por usuario'!C150</f>
        <v>0</v>
      </c>
      <c r="D188" t="str">
        <v>Valor $</v>
      </c>
    </row>
    <row r="189">
      <c r="A189" t="str">
        <f>IF(ISBLANK('Conceptos creados por usuario'!A151),"",CONCATENATE('Conceptos creados por usuario'!A151,"-",'Conceptos creados por usuario'!B151,"-",'Conceptos creados por usuario'!C151))</f>
        <v/>
      </c>
      <c r="B189">
        <f>'Conceptos creados por usuario'!A151</f>
        <v>0</v>
      </c>
      <c r="C189">
        <f>'Conceptos creados por usuario'!C151</f>
        <v>0</v>
      </c>
      <c r="D189" t="str">
        <v>Valor $</v>
      </c>
    </row>
    <row r="190">
      <c r="A190" t="str">
        <f>IF(ISBLANK('Conceptos creados por usuario'!A152),"",CONCATENATE('Conceptos creados por usuario'!A152,"-",'Conceptos creados por usuario'!B152,"-",'Conceptos creados por usuario'!C152))</f>
        <v/>
      </c>
      <c r="B190">
        <f>'Conceptos creados por usuario'!A152</f>
        <v>0</v>
      </c>
      <c r="C190">
        <f>'Conceptos creados por usuario'!C152</f>
        <v>0</v>
      </c>
      <c r="D190" t="str">
        <v>Valor $</v>
      </c>
    </row>
    <row r="191">
      <c r="A191" t="str">
        <f>IF(ISBLANK('Conceptos creados por usuario'!A153),"",CONCATENATE('Conceptos creados por usuario'!A153,"-",'Conceptos creados por usuario'!B153,"-",'Conceptos creados por usuario'!C153))</f>
        <v/>
      </c>
      <c r="B191">
        <f>'Conceptos creados por usuario'!A153</f>
        <v>0</v>
      </c>
      <c r="C191">
        <f>'Conceptos creados por usuario'!C153</f>
        <v>0</v>
      </c>
      <c r="D191" t="str">
        <v>Valor $</v>
      </c>
    </row>
    <row r="192">
      <c r="A192" t="str">
        <f>IF(ISBLANK('Conceptos creados por usuario'!A154),"",CONCATENATE('Conceptos creados por usuario'!A154,"-",'Conceptos creados por usuario'!B154,"-",'Conceptos creados por usuario'!C154))</f>
        <v/>
      </c>
      <c r="B192">
        <f>'Conceptos creados por usuario'!A154</f>
        <v>0</v>
      </c>
      <c r="C192">
        <f>'Conceptos creados por usuario'!C154</f>
        <v>0</v>
      </c>
      <c r="D192" t="str">
        <v>Valor $</v>
      </c>
    </row>
    <row r="193">
      <c r="A193" t="str">
        <f>IF(ISBLANK('Conceptos creados por usuario'!A155),"",CONCATENATE('Conceptos creados por usuario'!A155,"-",'Conceptos creados por usuario'!B155,"-",'Conceptos creados por usuario'!C155))</f>
        <v/>
      </c>
      <c r="B193">
        <f>'Conceptos creados por usuario'!A155</f>
        <v>0</v>
      </c>
      <c r="C193">
        <f>'Conceptos creados por usuario'!C155</f>
        <v>0</v>
      </c>
      <c r="D193" t="str">
        <v>Valor $</v>
      </c>
    </row>
    <row r="194">
      <c r="A194" t="str">
        <f>IF(ISBLANK('Conceptos creados por usuario'!A156),"",CONCATENATE('Conceptos creados por usuario'!A156,"-",'Conceptos creados por usuario'!B156,"-",'Conceptos creados por usuario'!C156))</f>
        <v/>
      </c>
      <c r="B194">
        <f>'Conceptos creados por usuario'!A156</f>
        <v>0</v>
      </c>
      <c r="C194">
        <f>'Conceptos creados por usuario'!C156</f>
        <v>0</v>
      </c>
      <c r="D194" t="str">
        <v>Valor $</v>
      </c>
    </row>
    <row r="195">
      <c r="A195" t="str">
        <f>IF(ISBLANK('Conceptos creados por usuario'!A157),"",CONCATENATE('Conceptos creados por usuario'!A157,"-",'Conceptos creados por usuario'!B157,"-",'Conceptos creados por usuario'!C157))</f>
        <v/>
      </c>
      <c r="B195">
        <f>'Conceptos creados por usuario'!A157</f>
        <v>0</v>
      </c>
      <c r="C195">
        <f>'Conceptos creados por usuario'!C157</f>
        <v>0</v>
      </c>
      <c r="D195" t="str">
        <v>Valor $</v>
      </c>
    </row>
    <row r="196">
      <c r="A196" t="str">
        <f>IF(ISBLANK('Conceptos creados por usuario'!A158),"",CONCATENATE('Conceptos creados por usuario'!A158,"-",'Conceptos creados por usuario'!B158,"-",'Conceptos creados por usuario'!C158))</f>
        <v/>
      </c>
      <c r="B196">
        <f>'Conceptos creados por usuario'!A158</f>
        <v>0</v>
      </c>
      <c r="C196">
        <f>'Conceptos creados por usuario'!C158</f>
        <v>0</v>
      </c>
      <c r="D196" t="str">
        <v>Valor $</v>
      </c>
    </row>
    <row r="197">
      <c r="A197" t="str">
        <f>IF(ISBLANK('Conceptos creados por usuario'!A159),"",CONCATENATE('Conceptos creados por usuario'!A159,"-",'Conceptos creados por usuario'!B159,"-",'Conceptos creados por usuario'!C159))</f>
        <v/>
      </c>
      <c r="B197">
        <f>'Conceptos creados por usuario'!A159</f>
        <v>0</v>
      </c>
      <c r="C197">
        <f>'Conceptos creados por usuario'!C159</f>
        <v>0</v>
      </c>
      <c r="D197" t="str">
        <v>Valor $</v>
      </c>
    </row>
    <row r="198">
      <c r="A198" t="str">
        <f>IF(ISBLANK('Conceptos creados por usuario'!A160),"",CONCATENATE('Conceptos creados por usuario'!A160,"-",'Conceptos creados por usuario'!B160,"-",'Conceptos creados por usuario'!C160))</f>
        <v/>
      </c>
      <c r="B198">
        <f>'Conceptos creados por usuario'!A160</f>
        <v>0</v>
      </c>
      <c r="C198">
        <f>'Conceptos creados por usuario'!C160</f>
        <v>0</v>
      </c>
      <c r="D198" t="str">
        <v>Valor $</v>
      </c>
    </row>
  </sheetData>
  <pageMargins left="0.7" right="0.7" top="0.75" bottom="0.75" header="0.3" footer="0.3"/>
  <ignoredErrors>
    <ignoredError numberStoredAsText="1" sqref="A1:F19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Company>Milenio PC</Company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Novedades</vt:lpstr>
      <vt:lpstr>Conceptos creados por usuario</vt:lpstr>
      <vt:lpstr>datos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2019-12-26T15:03:52Z</dcterms:created>
  <dcterms:modified xsi:type="dcterms:W3CDTF">2026-06-24T22:31:19Z</dcterms:modified>
  <cp:lastModifiedBy>Valeria Nastar Cordoba</cp:lastModifiedBy>
  <dc:creator>Manuel Andres Solano Duran</dc:creator>
</cp:coreProperties>
</file>